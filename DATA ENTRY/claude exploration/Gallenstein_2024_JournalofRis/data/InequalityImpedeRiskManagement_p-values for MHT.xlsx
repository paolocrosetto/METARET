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lle\Dropbox\Research\Working Papers\Inequality and Fairness Views\Manuscript\Solo 2 Submissions\JRI Submission\Final Submission\Gallenstein_JRI_InequalityImpedesRiskManegement_Code&amp;Data\"/>
    </mc:Choice>
  </mc:AlternateContent>
  <xr:revisionPtr revIDLastSave="0" documentId="13_ncr:9_{52311566-9786-4EBC-8EB8-74F02773453B}" xr6:coauthVersionLast="47" xr6:coauthVersionMax="47" xr10:uidLastSave="{00000000-0000-0000-0000-000000000000}"/>
  <bookViews>
    <workbookView xWindow="-110" yWindow="-110" windowWidth="24220" windowHeight="15500" xr2:uid="{6FA34F9F-94D2-41FB-996D-844094904AE4}"/>
  </bookViews>
  <sheets>
    <sheet name="Tables 3&amp;4&amp;6" sheetId="2" r:id="rId1"/>
    <sheet name="Raw_pvalu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5" i="2" l="1"/>
  <c r="D78" i="2"/>
  <c r="B35" i="2" l="1"/>
  <c r="C19" i="2" s="1"/>
  <c r="G9" i="2"/>
  <c r="H9" i="2" s="1"/>
  <c r="C29" i="2" l="1"/>
  <c r="C25" i="2"/>
  <c r="C24" i="2"/>
  <c r="C27" i="2"/>
  <c r="C18" i="2"/>
  <c r="C26" i="2"/>
  <c r="C33" i="2"/>
  <c r="C32" i="2"/>
  <c r="C31" i="2"/>
  <c r="C23" i="2"/>
  <c r="C30" i="2"/>
  <c r="C22" i="2"/>
  <c r="C21" i="2"/>
  <c r="C20" i="2"/>
  <c r="C28" i="2"/>
  <c r="I9" i="2"/>
  <c r="E13" i="2"/>
  <c r="E12" i="2"/>
  <c r="D13" i="2"/>
  <c r="D12" i="2"/>
  <c r="B13" i="2"/>
  <c r="B12" i="2"/>
  <c r="G4" i="2"/>
  <c r="I4" i="2" s="1"/>
  <c r="G5" i="2"/>
  <c r="I5" i="2" s="1"/>
  <c r="G6" i="2"/>
  <c r="I6" i="2" s="1"/>
  <c r="G7" i="2"/>
  <c r="H7" i="2" s="1"/>
  <c r="G8" i="2"/>
  <c r="H8" i="2" s="1"/>
  <c r="G10" i="2"/>
  <c r="J10" i="2" s="1"/>
  <c r="G11" i="2"/>
  <c r="H11" i="2" s="1"/>
  <c r="G12" i="2"/>
  <c r="G13" i="2"/>
  <c r="G14" i="2"/>
  <c r="H14" i="2" s="1"/>
  <c r="G15" i="2"/>
  <c r="G3" i="2"/>
  <c r="H3" i="2" s="1"/>
  <c r="L54" i="2" l="1"/>
  <c r="L76" i="2"/>
  <c r="L60" i="2"/>
  <c r="L45" i="2"/>
  <c r="L67" i="2"/>
  <c r="L57" i="2"/>
  <c r="L50" i="2"/>
  <c r="L42" i="2"/>
  <c r="L47" i="2"/>
  <c r="L51" i="2"/>
  <c r="L63" i="2"/>
  <c r="L59" i="2"/>
  <c r="L58" i="2"/>
  <c r="L70" i="2"/>
  <c r="L65" i="2"/>
  <c r="L77" i="2"/>
  <c r="L61" i="2"/>
  <c r="L56" i="2"/>
  <c r="L74" i="2"/>
  <c r="L66" i="2"/>
  <c r="L48" i="2"/>
  <c r="L75" i="2"/>
  <c r="L72" i="2"/>
  <c r="L71" i="2"/>
  <c r="L69" i="2"/>
  <c r="L73" i="2"/>
  <c r="L62" i="2"/>
  <c r="F73" i="2"/>
  <c r="F74" i="2"/>
  <c r="F76" i="2"/>
  <c r="F75" i="2"/>
  <c r="F39" i="2"/>
  <c r="F69" i="2"/>
  <c r="F77" i="2"/>
  <c r="F70" i="2"/>
  <c r="F68" i="2"/>
  <c r="F71" i="2"/>
  <c r="F72" i="2"/>
  <c r="J13" i="2"/>
  <c r="F48" i="2"/>
  <c r="L39" i="2"/>
  <c r="L49" i="2"/>
  <c r="L40" i="2"/>
  <c r="L64" i="2"/>
  <c r="L41" i="2"/>
  <c r="L68" i="2"/>
  <c r="L52" i="2"/>
  <c r="L46" i="2"/>
  <c r="F47" i="2"/>
  <c r="F55" i="2"/>
  <c r="F63" i="2"/>
  <c r="F61" i="2"/>
  <c r="F54" i="2"/>
  <c r="F40" i="2"/>
  <c r="F56" i="2"/>
  <c r="F64" i="2"/>
  <c r="F45" i="2"/>
  <c r="F41" i="2"/>
  <c r="F49" i="2"/>
  <c r="F57" i="2"/>
  <c r="F65" i="2"/>
  <c r="F60" i="2"/>
  <c r="F53" i="2"/>
  <c r="F62" i="2"/>
  <c r="F42" i="2"/>
  <c r="F50" i="2"/>
  <c r="F58" i="2"/>
  <c r="F66" i="2"/>
  <c r="F52" i="2"/>
  <c r="F46" i="2"/>
  <c r="F43" i="2"/>
  <c r="F51" i="2"/>
  <c r="F59" i="2"/>
  <c r="F67" i="2"/>
  <c r="F44" i="2"/>
  <c r="H15" i="2"/>
  <c r="I15" i="2"/>
  <c r="H13" i="2"/>
  <c r="H4" i="2"/>
  <c r="H5" i="2"/>
  <c r="L43" i="2"/>
  <c r="K12" i="2"/>
  <c r="L44" i="2"/>
  <c r="L53" i="2"/>
  <c r="H6" i="2"/>
  <c r="I8" i="2"/>
  <c r="H12" i="2"/>
  <c r="K13" i="2"/>
  <c r="J12" i="2"/>
  <c r="K10" i="2"/>
  <c r="H10" i="2"/>
  <c r="K11" i="2"/>
  <c r="J11" i="2"/>
</calcChain>
</file>

<file path=xl/sharedStrings.xml><?xml version="1.0" encoding="utf-8"?>
<sst xmlns="http://schemas.openxmlformats.org/spreadsheetml/2006/main" count="284" uniqueCount="50">
  <si>
    <t>In</t>
  </si>
  <si>
    <t>WhIn</t>
  </si>
  <si>
    <t>n</t>
  </si>
  <si>
    <t>df</t>
  </si>
  <si>
    <t>Offer Av</t>
  </si>
  <si>
    <t>Offer SF</t>
  </si>
  <si>
    <t>Offer FS</t>
  </si>
  <si>
    <t>Accept</t>
  </si>
  <si>
    <t>Insurance</t>
  </si>
  <si>
    <t>Wh</t>
  </si>
  <si>
    <t>Wl</t>
  </si>
  <si>
    <t>SF</t>
  </si>
  <si>
    <t>FS</t>
  </si>
  <si>
    <t>WhSF</t>
  </si>
  <si>
    <t>WhFS</t>
  </si>
  <si>
    <t>p-value</t>
  </si>
  <si>
    <t>All P-Values</t>
  </si>
  <si>
    <t>***</t>
  </si>
  <si>
    <t>**</t>
  </si>
  <si>
    <t>*</t>
  </si>
  <si>
    <t xml:space="preserve">Bonferonni  </t>
  </si>
  <si>
    <t>adjusted p-values</t>
  </si>
  <si>
    <t>Sig</t>
  </si>
  <si>
    <t xml:space="preserve">Holm  </t>
  </si>
  <si>
    <t>Adjusted p-values</t>
  </si>
  <si>
    <t>Asym</t>
  </si>
  <si>
    <t>In*Asym</t>
  </si>
  <si>
    <t>Tables 3,4,&amp;6 in JRI</t>
  </si>
  <si>
    <t>Tables 1 &amp; 2 in Gallenstein 2021</t>
  </si>
  <si>
    <t>Outcome</t>
  </si>
  <si>
    <t>Indep</t>
  </si>
  <si>
    <t xml:space="preserve">In </t>
  </si>
  <si>
    <t>Count</t>
  </si>
  <si>
    <t>P-Values</t>
  </si>
  <si>
    <t>Uncorrected</t>
  </si>
  <si>
    <t>Number</t>
  </si>
  <si>
    <t>Model</t>
  </si>
  <si>
    <t>Der</t>
  </si>
  <si>
    <t>Rer</t>
  </si>
  <si>
    <t>SFDER</t>
  </si>
  <si>
    <t>FSDER</t>
  </si>
  <si>
    <t>SFRER</t>
  </si>
  <si>
    <t>FSRER</t>
  </si>
  <si>
    <t>WhDER</t>
  </si>
  <si>
    <t>WhRER</t>
  </si>
  <si>
    <t>WlSF</t>
  </si>
  <si>
    <t>WlFS</t>
  </si>
  <si>
    <t>JDS</t>
  </si>
  <si>
    <t>p-values</t>
  </si>
  <si>
    <r>
      <t xml:space="preserve">Notes for Replication. </t>
    </r>
    <r>
      <rPr>
        <sz val="11"/>
        <color theme="1"/>
        <rFont val="Calibri"/>
        <family val="2"/>
        <scheme val="minor"/>
      </rPr>
      <t xml:space="preserve">For the Bonferoni method, the excel file will automatically calculate the adjusted p-value for any new set of p-values in the uncorrected P-Values column. The calculation is simply the p-value times the number of hypotheses (D78). For the Holm method, some manual changes may be necessary. For the Holm method, the use must sort the Model through Adjusted p-value columns under the Holm header by the size of the p-value from smallest to largest. Then the adjusted p-value is the p-value*(number of hypotheses - the number of significant hypotheses ranked above that value). If new p-values are entered in this file, the Holm estimates will need to re-estimated following this proceedure.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</si>
</sst>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2" xfId="0" applyBorder="1"/>
    <xf numFmtId="0" fontId="0" fillId="0" borderId="1" xfId="0" applyBorder="1"/>
    <xf numFmtId="0" fontId="0" fillId="0" borderId="4" xfId="0" applyBorder="1"/>
    <xf numFmtId="0" fontId="0" fillId="0" borderId="3" xfId="0" applyBorder="1"/>
    <xf numFmtId="0" fontId="0" fillId="2" borderId="3" xfId="0" applyFill="1" applyBorder="1"/>
    <xf numFmtId="0" fontId="0" fillId="0" borderId="6" xfId="0" applyBorder="1"/>
    <xf numFmtId="0" fontId="0" fillId="0" borderId="5" xfId="0" applyBorder="1"/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0" xfId="0" applyBorder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FDFA3-C233-4410-AA50-2995FFEA44A7}">
  <dimension ref="A1:O78"/>
  <sheetViews>
    <sheetView tabSelected="1" workbookViewId="0">
      <pane xSplit="1" topLeftCell="B1" activePane="topRight" state="frozen"/>
      <selection activeCell="A30" sqref="A30"/>
      <selection pane="topRight" activeCell="O37" sqref="O37:O42"/>
    </sheetView>
  </sheetViews>
  <sheetFormatPr defaultRowHeight="14.5" x14ac:dyDescent="0.35"/>
  <cols>
    <col min="1" max="1" width="11.81640625" bestFit="1" customWidth="1"/>
    <col min="2" max="2" width="13.453125" customWidth="1"/>
    <col min="3" max="3" width="18.26953125" customWidth="1"/>
    <col min="4" max="4" width="10.6328125" customWidth="1"/>
    <col min="5" max="5" width="10.36328125" customWidth="1"/>
    <col min="6" max="6" width="16.453125" customWidth="1"/>
    <col min="7" max="7" width="14.7265625" customWidth="1"/>
    <col min="8" max="8" width="16.453125" customWidth="1"/>
    <col min="10" max="10" width="16.7265625" customWidth="1"/>
    <col min="11" max="11" width="16.08984375" customWidth="1"/>
    <col min="13" max="13" width="11.81640625" bestFit="1" customWidth="1"/>
    <col min="15" max="15" width="114.1796875" customWidth="1"/>
  </cols>
  <sheetData>
    <row r="1" spans="1:12" x14ac:dyDescent="0.35">
      <c r="A1" s="9" t="s">
        <v>27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x14ac:dyDescent="0.35">
      <c r="A2" s="1"/>
      <c r="B2" s="1" t="s">
        <v>0</v>
      </c>
      <c r="C2" s="1" t="s">
        <v>1</v>
      </c>
      <c r="D2" s="1" t="s">
        <v>25</v>
      </c>
      <c r="E2" s="1" t="s">
        <v>26</v>
      </c>
      <c r="F2" s="1" t="s">
        <v>2</v>
      </c>
      <c r="G2" s="1" t="s">
        <v>3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</row>
    <row r="3" spans="1:12" x14ac:dyDescent="0.35">
      <c r="A3" t="s">
        <v>4</v>
      </c>
      <c r="B3">
        <v>4.51</v>
      </c>
      <c r="F3">
        <v>438</v>
      </c>
      <c r="G3">
        <f>F3-1</f>
        <v>437</v>
      </c>
      <c r="H3">
        <f>_xlfn.T.DIST.2T(ABS(B3),G3)</f>
        <v>8.3400582194432195E-6</v>
      </c>
    </row>
    <row r="4" spans="1:12" x14ac:dyDescent="0.35">
      <c r="A4" t="s">
        <v>4</v>
      </c>
      <c r="B4">
        <v>-8.16</v>
      </c>
      <c r="C4">
        <v>17.41</v>
      </c>
      <c r="F4">
        <v>438</v>
      </c>
      <c r="G4">
        <f t="shared" ref="G4:G15" si="0">F4-1</f>
        <v>437</v>
      </c>
      <c r="H4">
        <f t="shared" ref="H4:H14" si="1">_xlfn.T.DIST.2T(ABS(B4),G4)</f>
        <v>3.6033577564784167E-15</v>
      </c>
      <c r="I4">
        <f t="shared" ref="I4:I9" si="2">_xlfn.T.DIST.2T(ABS(C4),G4)</f>
        <v>5.9991123155602997E-52</v>
      </c>
    </row>
    <row r="5" spans="1:12" x14ac:dyDescent="0.35">
      <c r="A5" t="s">
        <v>5</v>
      </c>
      <c r="B5">
        <v>2.06</v>
      </c>
      <c r="C5">
        <v>5.68</v>
      </c>
      <c r="F5">
        <v>438</v>
      </c>
      <c r="G5">
        <f t="shared" si="0"/>
        <v>437</v>
      </c>
      <c r="H5">
        <f t="shared" si="1"/>
        <v>3.999014057057447E-2</v>
      </c>
      <c r="I5">
        <f t="shared" si="2"/>
        <v>2.4612804241531667E-8</v>
      </c>
    </row>
    <row r="6" spans="1:12" x14ac:dyDescent="0.35">
      <c r="A6" t="s">
        <v>6</v>
      </c>
      <c r="B6">
        <v>-4.87</v>
      </c>
      <c r="C6">
        <v>3.5</v>
      </c>
      <c r="F6">
        <v>438</v>
      </c>
      <c r="G6">
        <f t="shared" si="0"/>
        <v>437</v>
      </c>
      <c r="H6">
        <f t="shared" si="1"/>
        <v>1.5625778779866117E-6</v>
      </c>
      <c r="I6">
        <f t="shared" si="2"/>
        <v>5.130397132387663E-4</v>
      </c>
    </row>
    <row r="7" spans="1:12" x14ac:dyDescent="0.35">
      <c r="A7" t="s">
        <v>7</v>
      </c>
      <c r="B7">
        <v>-4.97</v>
      </c>
      <c r="F7">
        <v>436</v>
      </c>
      <c r="G7">
        <f t="shared" si="0"/>
        <v>435</v>
      </c>
      <c r="H7">
        <f t="shared" si="1"/>
        <v>9.6456319489581839E-7</v>
      </c>
    </row>
    <row r="8" spans="1:12" x14ac:dyDescent="0.35">
      <c r="A8" t="s">
        <v>7</v>
      </c>
      <c r="B8">
        <v>-3.74</v>
      </c>
      <c r="C8">
        <v>-0.2</v>
      </c>
      <c r="F8">
        <v>438</v>
      </c>
      <c r="G8">
        <f t="shared" si="0"/>
        <v>437</v>
      </c>
      <c r="H8">
        <f t="shared" si="1"/>
        <v>2.0852055602917812E-4</v>
      </c>
      <c r="I8">
        <f t="shared" si="2"/>
        <v>0.84157361644397877</v>
      </c>
    </row>
    <row r="9" spans="1:12" x14ac:dyDescent="0.35">
      <c r="A9" t="s">
        <v>7</v>
      </c>
      <c r="B9">
        <v>4.34</v>
      </c>
      <c r="C9">
        <v>-5.91</v>
      </c>
      <c r="F9">
        <v>436</v>
      </c>
      <c r="G9">
        <f t="shared" si="0"/>
        <v>435</v>
      </c>
      <c r="H9">
        <f t="shared" si="1"/>
        <v>1.7736503149464012E-5</v>
      </c>
      <c r="I9">
        <f t="shared" si="2"/>
        <v>6.9159563037220148E-9</v>
      </c>
    </row>
    <row r="10" spans="1:12" x14ac:dyDescent="0.35">
      <c r="A10" t="s">
        <v>7</v>
      </c>
      <c r="B10">
        <v>-0.33</v>
      </c>
      <c r="D10">
        <v>-7.0000000000000007E-2</v>
      </c>
      <c r="E10">
        <v>-2.3199999999999998</v>
      </c>
      <c r="F10">
        <v>399</v>
      </c>
      <c r="G10">
        <f t="shared" si="0"/>
        <v>398</v>
      </c>
      <c r="H10">
        <f t="shared" si="1"/>
        <v>0.74157358501441295</v>
      </c>
      <c r="J10">
        <f>_xlfn.T.DIST.2T(ABS(D10),G10)</f>
        <v>0.94422881702394568</v>
      </c>
      <c r="K10">
        <f>_xlfn.T.DIST.2T(ABS(E10),G10)</f>
        <v>2.0845953113172288E-2</v>
      </c>
    </row>
    <row r="11" spans="1:12" x14ac:dyDescent="0.35">
      <c r="A11" t="s">
        <v>7</v>
      </c>
      <c r="B11">
        <v>-0.8</v>
      </c>
      <c r="D11">
        <v>0.79</v>
      </c>
      <c r="E11">
        <v>-1.95</v>
      </c>
      <c r="F11">
        <v>399</v>
      </c>
      <c r="G11">
        <f t="shared" si="0"/>
        <v>398</v>
      </c>
      <c r="H11">
        <f t="shared" si="1"/>
        <v>0.42418802608157202</v>
      </c>
      <c r="J11">
        <f t="shared" ref="J11:J13" si="3">_xlfn.T.DIST.2T(ABS(D11),G11)</f>
        <v>0.42999819043700649</v>
      </c>
      <c r="K11">
        <f t="shared" ref="K11:K13" si="4">_xlfn.T.DIST.2T(ABS(E11),G11)</f>
        <v>5.1877877025396993E-2</v>
      </c>
    </row>
    <row r="12" spans="1:12" x14ac:dyDescent="0.35">
      <c r="A12" t="s">
        <v>7</v>
      </c>
      <c r="B12">
        <f>-0.041/0.034</f>
        <v>-1.2058823529411764</v>
      </c>
      <c r="D12">
        <f>0.018/0.041</f>
        <v>0.43902439024390238</v>
      </c>
      <c r="E12">
        <f>-0.095/0.055</f>
        <v>-1.7272727272727273</v>
      </c>
      <c r="F12">
        <v>399</v>
      </c>
      <c r="G12">
        <f t="shared" si="0"/>
        <v>398</v>
      </c>
      <c r="H12">
        <f t="shared" si="1"/>
        <v>0.22857923762518076</v>
      </c>
      <c r="J12">
        <f t="shared" si="3"/>
        <v>0.66088210549570259</v>
      </c>
      <c r="K12">
        <f t="shared" si="4"/>
        <v>8.489451136217431E-2</v>
      </c>
    </row>
    <row r="13" spans="1:12" x14ac:dyDescent="0.35">
      <c r="A13" t="s">
        <v>7</v>
      </c>
      <c r="B13">
        <f>-0.093/0.024</f>
        <v>-3.875</v>
      </c>
      <c r="D13">
        <f>-0.005/0.052</f>
        <v>-9.6153846153846159E-2</v>
      </c>
      <c r="E13">
        <f>-0.014/0.064</f>
        <v>-0.21875</v>
      </c>
      <c r="F13">
        <v>399</v>
      </c>
      <c r="G13">
        <f t="shared" si="0"/>
        <v>398</v>
      </c>
      <c r="H13">
        <f t="shared" si="1"/>
        <v>1.2465987383581707E-4</v>
      </c>
      <c r="J13">
        <f t="shared" si="3"/>
        <v>0.92344678296665372</v>
      </c>
      <c r="K13">
        <f t="shared" si="4"/>
        <v>0.82695692526419307</v>
      </c>
    </row>
    <row r="14" spans="1:12" x14ac:dyDescent="0.35">
      <c r="A14" t="s">
        <v>8</v>
      </c>
      <c r="B14">
        <v>4.08</v>
      </c>
      <c r="F14">
        <v>438</v>
      </c>
      <c r="G14">
        <f t="shared" si="0"/>
        <v>437</v>
      </c>
      <c r="H14">
        <f t="shared" si="1"/>
        <v>5.3537193702423078E-5</v>
      </c>
    </row>
    <row r="15" spans="1:12" x14ac:dyDescent="0.35">
      <c r="A15" t="s">
        <v>8</v>
      </c>
      <c r="B15">
        <v>0.73</v>
      </c>
      <c r="C15">
        <v>2.87</v>
      </c>
      <c r="F15">
        <v>438</v>
      </c>
      <c r="G15">
        <f t="shared" si="0"/>
        <v>437</v>
      </c>
      <c r="H15">
        <f>_xlfn.T.DIST.2T(ABS(B15),G15)</f>
        <v>0.46578131614992002</v>
      </c>
      <c r="I15">
        <f>_xlfn.T.DIST.2T(ABS(C15),G15)</f>
        <v>4.3039380305055237E-3</v>
      </c>
    </row>
    <row r="16" spans="1:12" x14ac:dyDescent="0.35">
      <c r="A16" s="10" t="s">
        <v>28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3" x14ac:dyDescent="0.35">
      <c r="B17" t="s">
        <v>4</v>
      </c>
      <c r="C17" t="s">
        <v>15</v>
      </c>
    </row>
    <row r="18" spans="1:3" x14ac:dyDescent="0.35">
      <c r="A18" t="s">
        <v>11</v>
      </c>
      <c r="B18">
        <v>5.03</v>
      </c>
      <c r="C18">
        <f>_xlfn.T.DIST.2T(B18,B$35)</f>
        <v>7.1569491213406652E-7</v>
      </c>
    </row>
    <row r="19" spans="1:3" x14ac:dyDescent="0.35">
      <c r="A19" t="s">
        <v>12</v>
      </c>
      <c r="B19">
        <v>0.55000000000000004</v>
      </c>
      <c r="C19">
        <f t="shared" ref="C19:C33" si="5">_xlfn.T.DIST.2T(B19,B$35)</f>
        <v>0.58259844822756102</v>
      </c>
    </row>
    <row r="20" spans="1:3" x14ac:dyDescent="0.35">
      <c r="A20" t="s">
        <v>9</v>
      </c>
      <c r="B20">
        <v>10.82</v>
      </c>
      <c r="C20">
        <f t="shared" si="5"/>
        <v>2.3664933679842827E-24</v>
      </c>
    </row>
    <row r="21" spans="1:3" x14ac:dyDescent="0.35">
      <c r="A21" t="s">
        <v>10</v>
      </c>
      <c r="B21">
        <v>4.3600000000000003</v>
      </c>
      <c r="C21">
        <f t="shared" si="5"/>
        <v>1.6212345360612338E-5</v>
      </c>
    </row>
    <row r="22" spans="1:3" x14ac:dyDescent="0.35">
      <c r="A22" t="s">
        <v>37</v>
      </c>
      <c r="B22">
        <v>4.93</v>
      </c>
      <c r="C22">
        <f t="shared" si="5"/>
        <v>1.1671605365200662E-6</v>
      </c>
    </row>
    <row r="23" spans="1:3" x14ac:dyDescent="0.35">
      <c r="A23" t="s">
        <v>38</v>
      </c>
      <c r="B23">
        <v>3.29</v>
      </c>
      <c r="C23">
        <f t="shared" si="5"/>
        <v>1.08242317577909E-3</v>
      </c>
    </row>
    <row r="24" spans="1:3" x14ac:dyDescent="0.35">
      <c r="A24" t="s">
        <v>39</v>
      </c>
      <c r="B24">
        <v>1.9</v>
      </c>
      <c r="C24">
        <f t="shared" si="5"/>
        <v>5.8086603768332606E-2</v>
      </c>
    </row>
    <row r="25" spans="1:3" x14ac:dyDescent="0.35">
      <c r="A25" t="s">
        <v>40</v>
      </c>
      <c r="B25">
        <v>3.17</v>
      </c>
      <c r="C25">
        <f t="shared" si="5"/>
        <v>1.6308391225023874E-3</v>
      </c>
    </row>
    <row r="26" spans="1:3" x14ac:dyDescent="0.35">
      <c r="A26" t="s">
        <v>41</v>
      </c>
      <c r="B26">
        <v>0.19</v>
      </c>
      <c r="C26">
        <f t="shared" si="5"/>
        <v>0.84939675324275377</v>
      </c>
    </row>
    <row r="27" spans="1:3" x14ac:dyDescent="0.35">
      <c r="A27" t="s">
        <v>42</v>
      </c>
      <c r="B27">
        <v>0.52</v>
      </c>
      <c r="C27">
        <f t="shared" si="5"/>
        <v>0.60332509139623425</v>
      </c>
    </row>
    <row r="28" spans="1:3" x14ac:dyDescent="0.35">
      <c r="A28" t="s">
        <v>43</v>
      </c>
      <c r="B28">
        <v>1.24</v>
      </c>
      <c r="C28">
        <f t="shared" si="5"/>
        <v>0.2156362729342137</v>
      </c>
    </row>
    <row r="29" spans="1:3" x14ac:dyDescent="0.35">
      <c r="A29" t="s">
        <v>44</v>
      </c>
      <c r="B29">
        <v>0.44</v>
      </c>
      <c r="C29">
        <f t="shared" si="5"/>
        <v>0.66015315710747191</v>
      </c>
    </row>
    <row r="30" spans="1:3" x14ac:dyDescent="0.35">
      <c r="A30" t="s">
        <v>13</v>
      </c>
      <c r="B30">
        <v>1.54</v>
      </c>
      <c r="C30">
        <f t="shared" si="5"/>
        <v>0.12427917954933664</v>
      </c>
    </row>
    <row r="31" spans="1:3" x14ac:dyDescent="0.35">
      <c r="A31" t="s">
        <v>14</v>
      </c>
      <c r="B31">
        <v>4.29</v>
      </c>
      <c r="C31">
        <f t="shared" si="5"/>
        <v>2.1983974687329361E-5</v>
      </c>
    </row>
    <row r="32" spans="1:3" x14ac:dyDescent="0.35">
      <c r="A32" t="s">
        <v>45</v>
      </c>
      <c r="B32">
        <v>1.1599999999999999</v>
      </c>
      <c r="C32">
        <f t="shared" si="5"/>
        <v>0.24667785040647061</v>
      </c>
    </row>
    <row r="33" spans="1:15" x14ac:dyDescent="0.35">
      <c r="A33" t="s">
        <v>46</v>
      </c>
      <c r="B33">
        <v>0.64</v>
      </c>
      <c r="C33">
        <f t="shared" si="5"/>
        <v>0.52250570652641226</v>
      </c>
    </row>
    <row r="34" spans="1:15" x14ac:dyDescent="0.35">
      <c r="A34" t="s">
        <v>2</v>
      </c>
      <c r="B34">
        <v>441</v>
      </c>
    </row>
    <row r="35" spans="1:15" x14ac:dyDescent="0.35">
      <c r="A35" s="2" t="s">
        <v>3</v>
      </c>
      <c r="B35" s="2">
        <f>B34-1</f>
        <v>440</v>
      </c>
      <c r="C35" s="2"/>
      <c r="D35" s="2"/>
      <c r="E35" s="2"/>
      <c r="F35" s="2"/>
      <c r="G35" s="2"/>
      <c r="H35" s="2"/>
      <c r="I35" s="2"/>
      <c r="J35" s="2"/>
      <c r="K35" s="2"/>
      <c r="L35" s="2"/>
    </row>
    <row r="37" spans="1:15" ht="14.5" customHeight="1" x14ac:dyDescent="0.35">
      <c r="A37" s="8" t="s">
        <v>36</v>
      </c>
      <c r="B37" s="13" t="s">
        <v>34</v>
      </c>
      <c r="C37" s="13"/>
      <c r="D37" s="13"/>
      <c r="E37" s="14"/>
      <c r="F37" s="11" t="s">
        <v>20</v>
      </c>
      <c r="G37" s="12"/>
      <c r="H37" s="13" t="s">
        <v>23</v>
      </c>
      <c r="I37" s="13"/>
      <c r="J37" s="13"/>
      <c r="K37" s="13"/>
      <c r="L37" s="13"/>
      <c r="M37" s="14"/>
      <c r="O37" s="17" t="s">
        <v>49</v>
      </c>
    </row>
    <row r="38" spans="1:15" x14ac:dyDescent="0.35">
      <c r="A38" s="6" t="s">
        <v>35</v>
      </c>
      <c r="B38" s="1" t="s">
        <v>29</v>
      </c>
      <c r="C38" s="1" t="s">
        <v>30</v>
      </c>
      <c r="D38" s="1" t="s">
        <v>16</v>
      </c>
      <c r="E38" s="1"/>
      <c r="F38" s="3" t="s">
        <v>21</v>
      </c>
      <c r="G38" s="6" t="s">
        <v>22</v>
      </c>
      <c r="H38" s="1" t="s">
        <v>36</v>
      </c>
      <c r="I38" s="1" t="s">
        <v>29</v>
      </c>
      <c r="J38" s="1" t="s">
        <v>30</v>
      </c>
      <c r="K38" s="1" t="s">
        <v>33</v>
      </c>
      <c r="L38" s="1" t="s">
        <v>24</v>
      </c>
      <c r="M38" s="6" t="s">
        <v>22</v>
      </c>
      <c r="O38" s="17"/>
    </row>
    <row r="39" spans="1:15" x14ac:dyDescent="0.35">
      <c r="A39" s="7">
        <v>311</v>
      </c>
      <c r="B39" t="s">
        <v>4</v>
      </c>
      <c r="C39" t="s">
        <v>31</v>
      </c>
      <c r="D39">
        <v>8.3400582194432195E-6</v>
      </c>
      <c r="E39" t="s">
        <v>17</v>
      </c>
      <c r="F39" s="4">
        <f>D39*D$78</f>
        <v>3.2526227055828556E-4</v>
      </c>
      <c r="G39" s="7" t="s">
        <v>17</v>
      </c>
      <c r="H39">
        <v>311</v>
      </c>
      <c r="I39" t="s">
        <v>4</v>
      </c>
      <c r="J39" t="s">
        <v>31</v>
      </c>
      <c r="K39">
        <v>8.3400582194432195E-6</v>
      </c>
      <c r="L39">
        <f>K39*(D$78-7)</f>
        <v>2.6688186302218302E-4</v>
      </c>
      <c r="M39" s="7" t="s">
        <v>17</v>
      </c>
      <c r="O39" s="17"/>
    </row>
    <row r="40" spans="1:15" x14ac:dyDescent="0.35">
      <c r="A40" s="7">
        <v>321</v>
      </c>
      <c r="B40" t="s">
        <v>4</v>
      </c>
      <c r="C40" t="s">
        <v>31</v>
      </c>
      <c r="D40">
        <v>3.6033577564784167E-15</v>
      </c>
      <c r="E40" t="s">
        <v>17</v>
      </c>
      <c r="F40" s="4">
        <f>D40*D$78</f>
        <v>1.4053095250265824E-13</v>
      </c>
      <c r="G40" s="7" t="s">
        <v>17</v>
      </c>
      <c r="H40">
        <v>321</v>
      </c>
      <c r="I40" t="s">
        <v>4</v>
      </c>
      <c r="J40" t="s">
        <v>31</v>
      </c>
      <c r="K40">
        <v>3.6033577564784167E-15</v>
      </c>
      <c r="L40">
        <f>K40*(D$78-2)</f>
        <v>1.3332423698970141E-13</v>
      </c>
      <c r="M40" s="7" t="s">
        <v>17</v>
      </c>
      <c r="O40" s="17"/>
    </row>
    <row r="41" spans="1:15" x14ac:dyDescent="0.35">
      <c r="A41" s="7">
        <v>322</v>
      </c>
      <c r="B41" t="s">
        <v>4</v>
      </c>
      <c r="C41" t="s">
        <v>1</v>
      </c>
      <c r="D41">
        <v>5.9991123155602997E-52</v>
      </c>
      <c r="E41" t="s">
        <v>17</v>
      </c>
      <c r="F41" s="4">
        <f>D41*D$78</f>
        <v>2.3396538030685168E-50</v>
      </c>
      <c r="G41" s="7" t="s">
        <v>17</v>
      </c>
      <c r="H41">
        <v>322</v>
      </c>
      <c r="I41" t="s">
        <v>4</v>
      </c>
      <c r="J41" t="s">
        <v>1</v>
      </c>
      <c r="K41">
        <v>5.9991123155602997E-52</v>
      </c>
      <c r="L41">
        <f>K41*(D$78)</f>
        <v>2.3396538030685168E-50</v>
      </c>
      <c r="M41" s="7" t="s">
        <v>17</v>
      </c>
      <c r="O41" s="17"/>
    </row>
    <row r="42" spans="1:15" x14ac:dyDescent="0.35">
      <c r="A42" s="7">
        <v>331</v>
      </c>
      <c r="B42" t="s">
        <v>5</v>
      </c>
      <c r="C42" t="s">
        <v>31</v>
      </c>
      <c r="D42">
        <v>3.999014057057447E-2</v>
      </c>
      <c r="E42" t="s">
        <v>18</v>
      </c>
      <c r="F42" s="5">
        <f>D42*D$78</f>
        <v>1.5596154822524044</v>
      </c>
      <c r="G42" s="7"/>
      <c r="H42">
        <v>331</v>
      </c>
      <c r="I42" t="s">
        <v>5</v>
      </c>
      <c r="J42" t="s">
        <v>31</v>
      </c>
      <c r="K42">
        <v>3.999014057057447E-2</v>
      </c>
      <c r="L42">
        <f>K42*(D$78-20)</f>
        <v>0.75981267084091497</v>
      </c>
      <c r="M42" s="7"/>
      <c r="O42" s="17"/>
    </row>
    <row r="43" spans="1:15" x14ac:dyDescent="0.35">
      <c r="A43" s="7">
        <v>332</v>
      </c>
      <c r="B43" t="s">
        <v>5</v>
      </c>
      <c r="C43" t="s">
        <v>1</v>
      </c>
      <c r="D43">
        <v>2.4612804241531667E-8</v>
      </c>
      <c r="E43" t="s">
        <v>17</v>
      </c>
      <c r="F43" s="4">
        <f>D43*D$78</f>
        <v>9.5989936541973493E-7</v>
      </c>
      <c r="G43" s="7" t="s">
        <v>17</v>
      </c>
      <c r="H43">
        <v>332</v>
      </c>
      <c r="I43" t="s">
        <v>5</v>
      </c>
      <c r="J43" t="s">
        <v>1</v>
      </c>
      <c r="K43">
        <v>2.4612804241531667E-8</v>
      </c>
      <c r="L43">
        <f>K43*(D$78-4)</f>
        <v>8.6144814845360836E-7</v>
      </c>
      <c r="M43" s="7" t="s">
        <v>17</v>
      </c>
      <c r="O43" s="16"/>
    </row>
    <row r="44" spans="1:15" x14ac:dyDescent="0.35">
      <c r="A44" s="7">
        <v>341</v>
      </c>
      <c r="B44" t="s">
        <v>6</v>
      </c>
      <c r="C44" t="s">
        <v>31</v>
      </c>
      <c r="D44">
        <v>1.5625778779866117E-6</v>
      </c>
      <c r="E44" t="s">
        <v>17</v>
      </c>
      <c r="F44" s="4">
        <f>D44*D$78</f>
        <v>6.0940537241477856E-5</v>
      </c>
      <c r="G44" s="7" t="s">
        <v>17</v>
      </c>
      <c r="H44">
        <v>341</v>
      </c>
      <c r="I44" t="s">
        <v>6</v>
      </c>
      <c r="J44" t="s">
        <v>31</v>
      </c>
      <c r="K44">
        <v>1.5625778779866117E-6</v>
      </c>
      <c r="L44">
        <f>K44*(D$78-6)</f>
        <v>5.1565069973558183E-5</v>
      </c>
      <c r="M44" s="7" t="s">
        <v>17</v>
      </c>
      <c r="O44" s="16"/>
    </row>
    <row r="45" spans="1:15" x14ac:dyDescent="0.35">
      <c r="A45" s="7">
        <v>342</v>
      </c>
      <c r="B45" t="s">
        <v>6</v>
      </c>
      <c r="C45" t="s">
        <v>1</v>
      </c>
      <c r="D45">
        <v>5.130397132387663E-4</v>
      </c>
      <c r="E45" t="s">
        <v>17</v>
      </c>
      <c r="F45" s="4">
        <f>D45*D$78</f>
        <v>2.0008548816311887E-2</v>
      </c>
      <c r="G45" s="7" t="s">
        <v>18</v>
      </c>
      <c r="H45">
        <v>342</v>
      </c>
      <c r="I45" t="s">
        <v>6</v>
      </c>
      <c r="J45" t="s">
        <v>1</v>
      </c>
      <c r="K45">
        <v>5.130397132387663E-4</v>
      </c>
      <c r="L45">
        <f>K45*(D$78-16)</f>
        <v>1.1799913404491625E-2</v>
      </c>
      <c r="M45" s="7" t="s">
        <v>17</v>
      </c>
      <c r="O45" s="16"/>
    </row>
    <row r="46" spans="1:15" x14ac:dyDescent="0.35">
      <c r="A46" s="7">
        <v>411</v>
      </c>
      <c r="B46" t="s">
        <v>8</v>
      </c>
      <c r="C46" t="s">
        <v>31</v>
      </c>
      <c r="D46">
        <v>9.5429523078286259E-6</v>
      </c>
      <c r="F46" s="4">
        <f>D46*D$78</f>
        <v>3.721751400053164E-4</v>
      </c>
      <c r="G46" s="7" t="s">
        <v>17</v>
      </c>
      <c r="H46">
        <v>411</v>
      </c>
      <c r="I46" t="s">
        <v>8</v>
      </c>
      <c r="J46" t="s">
        <v>31</v>
      </c>
      <c r="K46">
        <v>9.5429523078286259E-6</v>
      </c>
      <c r="L46">
        <f>K46*(D$78-8)</f>
        <v>2.9583152154268738E-4</v>
      </c>
      <c r="M46" s="7" t="s">
        <v>17</v>
      </c>
      <c r="O46" s="16"/>
    </row>
    <row r="47" spans="1:15" x14ac:dyDescent="0.35">
      <c r="A47" s="7">
        <v>421</v>
      </c>
      <c r="B47" t="s">
        <v>8</v>
      </c>
      <c r="C47" t="s">
        <v>31</v>
      </c>
      <c r="D47">
        <v>0.2942984265552212</v>
      </c>
      <c r="F47" s="4">
        <f>D47*D$78</f>
        <v>11.477638635653626</v>
      </c>
      <c r="G47" s="7"/>
      <c r="H47">
        <v>421</v>
      </c>
      <c r="I47" t="s">
        <v>8</v>
      </c>
      <c r="J47" t="s">
        <v>31</v>
      </c>
      <c r="K47">
        <v>0.2942984265552212</v>
      </c>
      <c r="L47">
        <f>K47*(D$78-20)</f>
        <v>5.5916701045492028</v>
      </c>
      <c r="M47" s="7"/>
      <c r="O47" s="16"/>
    </row>
    <row r="48" spans="1:15" x14ac:dyDescent="0.35">
      <c r="A48" s="7">
        <v>422</v>
      </c>
      <c r="B48" t="s">
        <v>8</v>
      </c>
      <c r="C48" t="s">
        <v>1</v>
      </c>
      <c r="D48">
        <v>4.5787185395205965E-3</v>
      </c>
      <c r="F48" s="5">
        <f>D48*D$78</f>
        <v>0.17857002304130326</v>
      </c>
      <c r="G48" s="7"/>
      <c r="H48">
        <v>422</v>
      </c>
      <c r="I48" t="s">
        <v>8</v>
      </c>
      <c r="J48" t="s">
        <v>1</v>
      </c>
      <c r="K48">
        <v>4.5787185395205965E-3</v>
      </c>
      <c r="L48">
        <f>K48*(D$78-19)</f>
        <v>9.1574370790411933E-2</v>
      </c>
      <c r="M48" s="7" t="s">
        <v>19</v>
      </c>
      <c r="O48" s="16"/>
    </row>
    <row r="49" spans="1:15" x14ac:dyDescent="0.35">
      <c r="A49" s="7">
        <v>431</v>
      </c>
      <c r="B49" t="s">
        <v>7</v>
      </c>
      <c r="C49" t="s">
        <v>31</v>
      </c>
      <c r="D49">
        <v>9.6456319489581839E-7</v>
      </c>
      <c r="E49" t="s">
        <v>17</v>
      </c>
      <c r="F49" s="4">
        <f>D49*D$78</f>
        <v>3.7617964600936916E-5</v>
      </c>
      <c r="G49" s="7" t="s">
        <v>17</v>
      </c>
      <c r="H49">
        <v>431</v>
      </c>
      <c r="I49" t="s">
        <v>7</v>
      </c>
      <c r="J49" t="s">
        <v>31</v>
      </c>
      <c r="K49">
        <v>9.6456319489581839E-7</v>
      </c>
      <c r="L49">
        <f>K49*(D$78-5)</f>
        <v>3.2795148626457828E-5</v>
      </c>
      <c r="M49" s="7" t="s">
        <v>17</v>
      </c>
      <c r="O49" s="16"/>
    </row>
    <row r="50" spans="1:15" x14ac:dyDescent="0.35">
      <c r="A50" s="7">
        <v>441</v>
      </c>
      <c r="B50" t="s">
        <v>7</v>
      </c>
      <c r="C50" t="s">
        <v>31</v>
      </c>
      <c r="D50">
        <v>2.0852055602917812E-4</v>
      </c>
      <c r="E50" t="s">
        <v>17</v>
      </c>
      <c r="F50" s="4">
        <f>D50*D$78</f>
        <v>8.1323016851379461E-3</v>
      </c>
      <c r="G50" s="7" t="s">
        <v>17</v>
      </c>
      <c r="H50">
        <v>441</v>
      </c>
      <c r="I50" t="s">
        <v>7</v>
      </c>
      <c r="J50" t="s">
        <v>31</v>
      </c>
      <c r="K50">
        <v>2.0852055602917812E-4</v>
      </c>
      <c r="L50">
        <f>K50*(D$78-15)</f>
        <v>5.0044933447002749E-3</v>
      </c>
      <c r="M50" s="7" t="s">
        <v>17</v>
      </c>
      <c r="O50" s="16"/>
    </row>
    <row r="51" spans="1:15" x14ac:dyDescent="0.35">
      <c r="A51" s="7">
        <v>442</v>
      </c>
      <c r="B51" t="s">
        <v>7</v>
      </c>
      <c r="C51" t="s">
        <v>1</v>
      </c>
      <c r="D51">
        <v>0.84157361644397877</v>
      </c>
      <c r="F51" s="4">
        <f>D51*D$78</f>
        <v>32.821371041315174</v>
      </c>
      <c r="G51" s="7"/>
      <c r="H51">
        <v>442</v>
      </c>
      <c r="I51" t="s">
        <v>7</v>
      </c>
      <c r="J51" t="s">
        <v>1</v>
      </c>
      <c r="K51">
        <v>0.84157361644397877</v>
      </c>
      <c r="L51">
        <f>K51*(D$78-20)</f>
        <v>15.989898712435597</v>
      </c>
      <c r="M51" s="7"/>
      <c r="O51" s="16"/>
    </row>
    <row r="52" spans="1:15" x14ac:dyDescent="0.35">
      <c r="A52" s="7">
        <v>451</v>
      </c>
      <c r="B52" t="s">
        <v>7</v>
      </c>
      <c r="C52" t="s">
        <v>31</v>
      </c>
      <c r="D52">
        <v>1.7736503149464012E-5</v>
      </c>
      <c r="E52" t="s">
        <v>17</v>
      </c>
      <c r="F52" s="4">
        <f>D52*D$78</f>
        <v>6.9172362282909645E-4</v>
      </c>
      <c r="G52" s="7" t="s">
        <v>17</v>
      </c>
      <c r="H52">
        <v>451</v>
      </c>
      <c r="I52" t="s">
        <v>7</v>
      </c>
      <c r="J52" t="s">
        <v>31</v>
      </c>
      <c r="K52">
        <v>1.7736503149464012E-5</v>
      </c>
      <c r="L52">
        <f>K52*(D$78-9)</f>
        <v>5.3209509448392037E-4</v>
      </c>
      <c r="M52" s="7" t="s">
        <v>17</v>
      </c>
    </row>
    <row r="53" spans="1:15" x14ac:dyDescent="0.35">
      <c r="A53" s="7">
        <v>452</v>
      </c>
      <c r="B53" t="s">
        <v>7</v>
      </c>
      <c r="C53" t="s">
        <v>1</v>
      </c>
      <c r="D53">
        <v>6.9159563037220148E-9</v>
      </c>
      <c r="E53" t="s">
        <v>17</v>
      </c>
      <c r="F53" s="4">
        <f>D53*D$78</f>
        <v>2.6972229584515859E-7</v>
      </c>
      <c r="G53" s="7" t="s">
        <v>17</v>
      </c>
      <c r="H53">
        <v>452</v>
      </c>
      <c r="I53" t="s">
        <v>7</v>
      </c>
      <c r="J53" t="s">
        <v>1</v>
      </c>
      <c r="K53">
        <v>6.9159563037220148E-9</v>
      </c>
      <c r="L53">
        <f>K53*(D$78-3)</f>
        <v>2.4897442693399253E-7</v>
      </c>
      <c r="M53" s="7" t="s">
        <v>17</v>
      </c>
    </row>
    <row r="54" spans="1:15" x14ac:dyDescent="0.35">
      <c r="A54" s="7">
        <v>611</v>
      </c>
      <c r="B54" t="s">
        <v>7</v>
      </c>
      <c r="C54" t="s">
        <v>31</v>
      </c>
      <c r="D54">
        <v>0.22857923762518076</v>
      </c>
      <c r="F54" s="4">
        <f>D54*D$78</f>
        <v>8.9145902673820494</v>
      </c>
      <c r="G54" s="7"/>
      <c r="H54">
        <v>611</v>
      </c>
      <c r="I54" t="s">
        <v>7</v>
      </c>
      <c r="J54" t="s">
        <v>31</v>
      </c>
      <c r="K54">
        <v>0.22857923762518076</v>
      </c>
      <c r="L54">
        <f>K54*(D$78-20)</f>
        <v>4.3430055148784348</v>
      </c>
      <c r="M54" s="7"/>
    </row>
    <row r="55" spans="1:15" x14ac:dyDescent="0.35">
      <c r="A55" s="7">
        <v>612</v>
      </c>
      <c r="B55" t="s">
        <v>7</v>
      </c>
      <c r="C55" t="s">
        <v>26</v>
      </c>
      <c r="D55">
        <v>8.489451136217431E-2</v>
      </c>
      <c r="E55" t="s">
        <v>19</v>
      </c>
      <c r="F55" s="5">
        <f>D55*D$78</f>
        <v>3.3108859431247981</v>
      </c>
      <c r="G55" s="7"/>
      <c r="H55">
        <v>612</v>
      </c>
      <c r="I55" t="s">
        <v>7</v>
      </c>
      <c r="J55" t="s">
        <v>26</v>
      </c>
      <c r="K55">
        <v>8.489451136217431E-2</v>
      </c>
      <c r="L55">
        <f>K55*(D$78-20)</f>
        <v>1.612995715881312</v>
      </c>
      <c r="M55" s="7"/>
    </row>
    <row r="56" spans="1:15" x14ac:dyDescent="0.35">
      <c r="A56" s="7">
        <v>621</v>
      </c>
      <c r="B56" t="s">
        <v>7</v>
      </c>
      <c r="C56" t="s">
        <v>31</v>
      </c>
      <c r="D56">
        <v>1.2465987383581707E-4</v>
      </c>
      <c r="E56" t="s">
        <v>17</v>
      </c>
      <c r="F56" s="4">
        <f>D56*D$78</f>
        <v>4.8617350795968663E-3</v>
      </c>
      <c r="G56" s="7" t="s">
        <v>17</v>
      </c>
      <c r="H56">
        <v>621</v>
      </c>
      <c r="I56" t="s">
        <v>7</v>
      </c>
      <c r="J56" t="s">
        <v>31</v>
      </c>
      <c r="K56">
        <v>1.2465987383581707E-4</v>
      </c>
      <c r="L56">
        <f>K56*(D$78-12)</f>
        <v>3.3658165935670612E-3</v>
      </c>
      <c r="M56" s="7" t="s">
        <v>17</v>
      </c>
    </row>
    <row r="57" spans="1:15" x14ac:dyDescent="0.35">
      <c r="A57" s="7">
        <v>622</v>
      </c>
      <c r="B57" t="s">
        <v>7</v>
      </c>
      <c r="C57" t="s">
        <v>26</v>
      </c>
      <c r="D57">
        <v>0.82695692526419307</v>
      </c>
      <c r="F57" s="4">
        <f>D57*D$78</f>
        <v>32.251320085303533</v>
      </c>
      <c r="G57" s="7"/>
      <c r="H57">
        <v>622</v>
      </c>
      <c r="I57" t="s">
        <v>7</v>
      </c>
      <c r="J57" t="s">
        <v>26</v>
      </c>
      <c r="K57">
        <v>0.82695692526419307</v>
      </c>
      <c r="L57">
        <f>K57*(D$78-20)</f>
        <v>15.712181580019669</v>
      </c>
      <c r="M57" s="7"/>
    </row>
    <row r="58" spans="1:15" x14ac:dyDescent="0.35">
      <c r="A58" s="7">
        <v>631</v>
      </c>
      <c r="B58" t="s">
        <v>7</v>
      </c>
      <c r="C58" t="s">
        <v>31</v>
      </c>
      <c r="D58">
        <v>0.42418802608157202</v>
      </c>
      <c r="F58" s="4">
        <f>D58*D$78</f>
        <v>16.543333017181308</v>
      </c>
      <c r="G58" s="7"/>
      <c r="H58">
        <v>631</v>
      </c>
      <c r="I58" t="s">
        <v>7</v>
      </c>
      <c r="J58" t="s">
        <v>31</v>
      </c>
      <c r="K58">
        <v>0.42418802608157202</v>
      </c>
      <c r="L58">
        <f>K58*(D$78-20)</f>
        <v>8.0595724955498689</v>
      </c>
      <c r="M58" s="7"/>
    </row>
    <row r="59" spans="1:15" x14ac:dyDescent="0.35">
      <c r="A59" s="7">
        <v>632</v>
      </c>
      <c r="B59" t="s">
        <v>7</v>
      </c>
      <c r="C59" t="s">
        <v>26</v>
      </c>
      <c r="D59">
        <v>5.1877877025396993E-2</v>
      </c>
      <c r="E59" t="s">
        <v>19</v>
      </c>
      <c r="F59" s="5">
        <f>D59*D$78</f>
        <v>2.0232372039904827</v>
      </c>
      <c r="G59" s="7"/>
      <c r="H59">
        <v>632</v>
      </c>
      <c r="I59" t="s">
        <v>7</v>
      </c>
      <c r="J59" t="s">
        <v>26</v>
      </c>
      <c r="K59">
        <v>5.1877877025396993E-2</v>
      </c>
      <c r="L59">
        <f>K59*(D$78-20)</f>
        <v>0.98567966348254288</v>
      </c>
      <c r="M59" s="7"/>
    </row>
    <row r="60" spans="1:15" x14ac:dyDescent="0.35">
      <c r="A60" s="7">
        <v>641</v>
      </c>
      <c r="B60" t="s">
        <v>7</v>
      </c>
      <c r="C60" t="s">
        <v>31</v>
      </c>
      <c r="D60">
        <v>0.74157358501441295</v>
      </c>
      <c r="F60" s="4">
        <f>D60*D$78</f>
        <v>28.921369815562105</v>
      </c>
      <c r="G60" s="7"/>
      <c r="H60">
        <v>641</v>
      </c>
      <c r="I60" t="s">
        <v>7</v>
      </c>
      <c r="J60" t="s">
        <v>31</v>
      </c>
      <c r="K60">
        <v>0.74157358501441295</v>
      </c>
      <c r="L60">
        <f>K60*(D$78-20)</f>
        <v>14.089898115273845</v>
      </c>
      <c r="M60" s="7"/>
    </row>
    <row r="61" spans="1:15" x14ac:dyDescent="0.35">
      <c r="A61" s="7">
        <v>642</v>
      </c>
      <c r="B61" t="s">
        <v>7</v>
      </c>
      <c r="C61" t="s">
        <v>26</v>
      </c>
      <c r="D61">
        <v>2.0845953113172288E-2</v>
      </c>
      <c r="E61" t="s">
        <v>18</v>
      </c>
      <c r="F61" s="5">
        <f>D61*D$78</f>
        <v>0.81299217141371927</v>
      </c>
      <c r="G61" s="7"/>
      <c r="H61">
        <v>642</v>
      </c>
      <c r="I61" t="s">
        <v>7</v>
      </c>
      <c r="J61" t="s">
        <v>26</v>
      </c>
      <c r="K61">
        <v>2.0845953113172288E-2</v>
      </c>
      <c r="L61">
        <f>K61*(D$78-20)</f>
        <v>0.39607310915027349</v>
      </c>
      <c r="M61" s="7"/>
    </row>
    <row r="62" spans="1:15" x14ac:dyDescent="0.35">
      <c r="A62" s="7">
        <v>701</v>
      </c>
      <c r="B62" t="s">
        <v>47</v>
      </c>
      <c r="C62" t="s">
        <v>11</v>
      </c>
      <c r="D62">
        <v>7.1569491213406652E-7</v>
      </c>
      <c r="E62" t="s">
        <v>17</v>
      </c>
      <c r="F62" s="4">
        <f>D62*D$78</f>
        <v>2.7912101573228594E-5</v>
      </c>
      <c r="G62" s="7" t="s">
        <v>18</v>
      </c>
      <c r="H62">
        <v>701</v>
      </c>
      <c r="I62" s="15" t="s">
        <v>47</v>
      </c>
      <c r="J62" t="s">
        <v>0</v>
      </c>
      <c r="K62">
        <v>9.7544806741116125E-4</v>
      </c>
      <c r="L62">
        <f>K62*(D$78-17)</f>
        <v>2.1459857483045547E-2</v>
      </c>
      <c r="M62" s="7" t="s">
        <v>18</v>
      </c>
    </row>
    <row r="63" spans="1:15" x14ac:dyDescent="0.35">
      <c r="A63" s="7">
        <v>702</v>
      </c>
      <c r="B63" t="s">
        <v>47</v>
      </c>
      <c r="C63" t="s">
        <v>12</v>
      </c>
      <c r="D63">
        <v>0.58259844822756102</v>
      </c>
      <c r="F63" s="4">
        <f>D63*D$78</f>
        <v>22.721339480874878</v>
      </c>
      <c r="G63" s="7"/>
      <c r="H63">
        <v>702</v>
      </c>
      <c r="I63" s="15" t="s">
        <v>47</v>
      </c>
      <c r="J63" t="s">
        <v>9</v>
      </c>
      <c r="K63">
        <v>1.6516636792351708E-4</v>
      </c>
      <c r="L63">
        <f>K63*(D$78-14)</f>
        <v>4.1291591980879266E-3</v>
      </c>
      <c r="M63" s="7" t="s">
        <v>17</v>
      </c>
    </row>
    <row r="64" spans="1:15" x14ac:dyDescent="0.35">
      <c r="A64" s="7">
        <v>703</v>
      </c>
      <c r="B64" t="s">
        <v>47</v>
      </c>
      <c r="C64" t="s">
        <v>9</v>
      </c>
      <c r="D64">
        <v>2.3664933679842827E-24</v>
      </c>
      <c r="E64" t="s">
        <v>17</v>
      </c>
      <c r="F64" s="4">
        <f>D64*D$78</f>
        <v>9.2293241351387019E-23</v>
      </c>
      <c r="G64" s="7" t="s">
        <v>17</v>
      </c>
      <c r="H64">
        <v>703</v>
      </c>
      <c r="I64" s="15" t="s">
        <v>47</v>
      </c>
      <c r="J64" t="s">
        <v>10</v>
      </c>
      <c r="K64">
        <v>1.7196663519225655E-18</v>
      </c>
      <c r="L64">
        <f>K64*(D$78-1)</f>
        <v>6.5347321373057488E-17</v>
      </c>
      <c r="M64" s="7" t="s">
        <v>17</v>
      </c>
    </row>
    <row r="65" spans="1:13" x14ac:dyDescent="0.35">
      <c r="A65" s="7">
        <v>704</v>
      </c>
      <c r="B65" t="s">
        <v>47</v>
      </c>
      <c r="C65" t="s">
        <v>10</v>
      </c>
      <c r="D65">
        <v>1.6212345360612338E-5</v>
      </c>
      <c r="E65" t="s">
        <v>17</v>
      </c>
      <c r="F65" s="4">
        <f>D65*D$78</f>
        <v>6.3228146906388122E-4</v>
      </c>
      <c r="G65" s="7" t="s">
        <v>17</v>
      </c>
      <c r="H65">
        <v>704</v>
      </c>
      <c r="I65" s="15" t="s">
        <v>47</v>
      </c>
      <c r="J65" t="s">
        <v>11</v>
      </c>
      <c r="K65">
        <v>1.4118092966507767E-4</v>
      </c>
      <c r="L65">
        <f>K65*(D$78-13)</f>
        <v>3.6707041712920195E-3</v>
      </c>
      <c r="M65" s="7" t="s">
        <v>17</v>
      </c>
    </row>
    <row r="66" spans="1:13" x14ac:dyDescent="0.35">
      <c r="A66" s="7">
        <v>705</v>
      </c>
      <c r="B66" t="s">
        <v>47</v>
      </c>
      <c r="C66" t="s">
        <v>37</v>
      </c>
      <c r="D66">
        <v>1.1671605365200662E-6</v>
      </c>
      <c r="E66" t="s">
        <v>17</v>
      </c>
      <c r="F66" s="4">
        <f>D66*D$78</f>
        <v>4.5519260924282583E-5</v>
      </c>
      <c r="G66" s="7" t="s">
        <v>17</v>
      </c>
      <c r="H66">
        <v>705</v>
      </c>
      <c r="I66" s="15" t="s">
        <v>47</v>
      </c>
      <c r="J66" t="s">
        <v>12</v>
      </c>
      <c r="K66">
        <v>0.58947147284097468</v>
      </c>
      <c r="L66">
        <f>K66*(D$78-20)</f>
        <v>11.199957983978519</v>
      </c>
      <c r="M66" s="7"/>
    </row>
    <row r="67" spans="1:13" x14ac:dyDescent="0.35">
      <c r="A67" s="7">
        <v>706</v>
      </c>
      <c r="B67" t="s">
        <v>47</v>
      </c>
      <c r="C67" t="s">
        <v>38</v>
      </c>
      <c r="D67">
        <v>1.08242317577909E-3</v>
      </c>
      <c r="E67" t="s">
        <v>17</v>
      </c>
      <c r="F67" s="4">
        <f>D67*D$78</f>
        <v>4.2214503855384507E-2</v>
      </c>
      <c r="G67" s="7" t="s">
        <v>18</v>
      </c>
      <c r="H67">
        <v>706</v>
      </c>
      <c r="I67" s="15" t="s">
        <v>47</v>
      </c>
      <c r="J67" t="s">
        <v>13</v>
      </c>
      <c r="K67">
        <v>0.25490930920215327</v>
      </c>
      <c r="L67">
        <f>K67*(D$78-20)</f>
        <v>4.8432768748409121</v>
      </c>
      <c r="M67" s="7"/>
    </row>
    <row r="68" spans="1:13" x14ac:dyDescent="0.35">
      <c r="A68" s="7">
        <v>707</v>
      </c>
      <c r="B68" t="s">
        <v>47</v>
      </c>
      <c r="C68" t="s">
        <v>39</v>
      </c>
      <c r="D68">
        <v>5.8086603768332606E-2</v>
      </c>
      <c r="E68" t="s">
        <v>19</v>
      </c>
      <c r="F68" s="5">
        <f>D68*D$78</f>
        <v>2.2653775469649715</v>
      </c>
      <c r="G68" s="7"/>
      <c r="H68">
        <v>707</v>
      </c>
      <c r="I68" s="15" t="s">
        <v>47</v>
      </c>
      <c r="J68" t="s">
        <v>14</v>
      </c>
      <c r="K68">
        <v>1.8499560198205556E-5</v>
      </c>
      <c r="L68">
        <f>K68*(D$78-10)</f>
        <v>5.3648724574796114E-4</v>
      </c>
      <c r="M68" s="7" t="s">
        <v>17</v>
      </c>
    </row>
    <row r="69" spans="1:13" x14ac:dyDescent="0.35">
      <c r="A69" s="7">
        <v>708</v>
      </c>
      <c r="B69" t="s">
        <v>47</v>
      </c>
      <c r="C69" t="s">
        <v>40</v>
      </c>
      <c r="D69">
        <v>1.6308391225023874E-3</v>
      </c>
      <c r="E69" s="7" t="s">
        <v>17</v>
      </c>
      <c r="F69" s="4">
        <f t="shared" ref="F69:F77" si="6">D69*D$78</f>
        <v>6.3602725777593114E-2</v>
      </c>
      <c r="G69" s="7" t="s">
        <v>18</v>
      </c>
      <c r="H69" s="15">
        <v>708</v>
      </c>
      <c r="I69" s="15" t="s">
        <v>47</v>
      </c>
      <c r="J69" t="s">
        <v>40</v>
      </c>
      <c r="K69">
        <v>1.6308391225023874E-3</v>
      </c>
      <c r="L69">
        <f>K69*(D$78-18)</f>
        <v>3.4247621572550138E-2</v>
      </c>
      <c r="M69" s="7" t="s">
        <v>18</v>
      </c>
    </row>
    <row r="70" spans="1:13" x14ac:dyDescent="0.35">
      <c r="A70" s="7">
        <v>709</v>
      </c>
      <c r="B70" t="s">
        <v>47</v>
      </c>
      <c r="C70" t="s">
        <v>41</v>
      </c>
      <c r="D70">
        <v>0.84939675324275377</v>
      </c>
      <c r="E70" s="7"/>
      <c r="F70" s="4">
        <f t="shared" si="6"/>
        <v>33.126473376467395</v>
      </c>
      <c r="G70" s="7"/>
      <c r="H70" s="15">
        <v>709</v>
      </c>
      <c r="I70" s="15" t="s">
        <v>47</v>
      </c>
      <c r="J70" t="s">
        <v>41</v>
      </c>
      <c r="K70">
        <v>0.84939675324275377</v>
      </c>
      <c r="L70">
        <f>K70*(D$78-20)</f>
        <v>16.138538311612322</v>
      </c>
      <c r="M70" s="7"/>
    </row>
    <row r="71" spans="1:13" x14ac:dyDescent="0.35">
      <c r="A71" s="7">
        <v>710</v>
      </c>
      <c r="B71" t="s">
        <v>47</v>
      </c>
      <c r="C71" t="s">
        <v>42</v>
      </c>
      <c r="D71">
        <v>0.60332509139623425</v>
      </c>
      <c r="E71" s="7"/>
      <c r="F71" s="4">
        <f t="shared" si="6"/>
        <v>23.529678564453135</v>
      </c>
      <c r="G71" s="7"/>
      <c r="H71" s="15">
        <v>710</v>
      </c>
      <c r="I71" s="15" t="s">
        <v>47</v>
      </c>
      <c r="J71" t="s">
        <v>42</v>
      </c>
      <c r="K71">
        <v>0.60332509139623425</v>
      </c>
      <c r="L71">
        <f>K71*(D$78-20)</f>
        <v>11.463176736528451</v>
      </c>
      <c r="M71" s="7"/>
    </row>
    <row r="72" spans="1:13" x14ac:dyDescent="0.35">
      <c r="A72" s="7">
        <v>711</v>
      </c>
      <c r="B72" t="s">
        <v>47</v>
      </c>
      <c r="C72" t="s">
        <v>43</v>
      </c>
      <c r="D72">
        <v>0.2156362729342137</v>
      </c>
      <c r="E72" s="7"/>
      <c r="F72" s="4">
        <f t="shared" si="6"/>
        <v>8.4098146444343342</v>
      </c>
      <c r="G72" s="7"/>
      <c r="H72" s="15">
        <v>711</v>
      </c>
      <c r="I72" s="15" t="s">
        <v>47</v>
      </c>
      <c r="J72" t="s">
        <v>43</v>
      </c>
      <c r="K72">
        <v>0.2156362729342137</v>
      </c>
      <c r="L72">
        <f>K72*(D$78-20)</f>
        <v>4.0970891857500602</v>
      </c>
      <c r="M72" s="7"/>
    </row>
    <row r="73" spans="1:13" x14ac:dyDescent="0.35">
      <c r="A73" s="7">
        <v>712</v>
      </c>
      <c r="B73" t="s">
        <v>47</v>
      </c>
      <c r="C73" t="s">
        <v>44</v>
      </c>
      <c r="D73">
        <v>0.66015315710747191</v>
      </c>
      <c r="E73" s="7"/>
      <c r="F73" s="4">
        <f t="shared" si="6"/>
        <v>25.745973127191405</v>
      </c>
      <c r="G73" s="7"/>
      <c r="H73" s="15">
        <v>712</v>
      </c>
      <c r="I73" s="15" t="s">
        <v>47</v>
      </c>
      <c r="J73" t="s">
        <v>44</v>
      </c>
      <c r="K73">
        <v>0.66015315710747191</v>
      </c>
      <c r="L73">
        <f>K73*(D$78-20)</f>
        <v>12.542909985041966</v>
      </c>
      <c r="M73" s="7"/>
    </row>
    <row r="74" spans="1:13" x14ac:dyDescent="0.35">
      <c r="A74" s="7">
        <v>713</v>
      </c>
      <c r="B74" t="s">
        <v>47</v>
      </c>
      <c r="C74" t="s">
        <v>13</v>
      </c>
      <c r="D74">
        <v>0.12427917954933664</v>
      </c>
      <c r="E74" s="7"/>
      <c r="F74" s="4">
        <f t="shared" si="6"/>
        <v>4.8468880024241292</v>
      </c>
      <c r="G74" s="7"/>
      <c r="H74" s="15">
        <v>713</v>
      </c>
      <c r="I74" s="15" t="s">
        <v>47</v>
      </c>
      <c r="J74" t="s">
        <v>13</v>
      </c>
      <c r="K74">
        <v>0.12427917954933664</v>
      </c>
      <c r="L74">
        <f>K74*(D$78-20)</f>
        <v>2.3613044114373962</v>
      </c>
      <c r="M74" s="7"/>
    </row>
    <row r="75" spans="1:13" x14ac:dyDescent="0.35">
      <c r="A75" s="7">
        <v>714</v>
      </c>
      <c r="B75" t="s">
        <v>47</v>
      </c>
      <c r="C75" t="s">
        <v>14</v>
      </c>
      <c r="D75">
        <v>2.1983974687329361E-5</v>
      </c>
      <c r="E75" s="7" t="s">
        <v>17</v>
      </c>
      <c r="F75" s="4">
        <f t="shared" si="6"/>
        <v>8.573750128058451E-4</v>
      </c>
      <c r="G75" s="7" t="s">
        <v>17</v>
      </c>
      <c r="H75" s="15">
        <v>714</v>
      </c>
      <c r="I75" s="15" t="s">
        <v>47</v>
      </c>
      <c r="J75" t="s">
        <v>14</v>
      </c>
      <c r="K75">
        <v>2.1983974687329361E-5</v>
      </c>
      <c r="L75">
        <f>K75*(D$78-11)</f>
        <v>6.1555129124522216E-4</v>
      </c>
      <c r="M75" s="7" t="s">
        <v>17</v>
      </c>
    </row>
    <row r="76" spans="1:13" x14ac:dyDescent="0.35">
      <c r="A76" s="7">
        <v>715</v>
      </c>
      <c r="B76" t="s">
        <v>47</v>
      </c>
      <c r="C76" t="s">
        <v>45</v>
      </c>
      <c r="D76">
        <v>0.24667785040647061</v>
      </c>
      <c r="E76" s="7"/>
      <c r="F76" s="4">
        <f t="shared" si="6"/>
        <v>9.6204361658523538</v>
      </c>
      <c r="G76" s="7"/>
      <c r="H76" s="15">
        <v>715</v>
      </c>
      <c r="I76" s="15" t="s">
        <v>47</v>
      </c>
      <c r="J76" t="s">
        <v>45</v>
      </c>
      <c r="K76">
        <v>0.24667785040647061</v>
      </c>
      <c r="L76">
        <f>K76*(D$78-20)</f>
        <v>4.6868791577229416</v>
      </c>
      <c r="M76" s="7"/>
    </row>
    <row r="77" spans="1:13" x14ac:dyDescent="0.35">
      <c r="A77" s="7">
        <v>716</v>
      </c>
      <c r="B77" t="s">
        <v>47</v>
      </c>
      <c r="C77" t="s">
        <v>46</v>
      </c>
      <c r="D77">
        <v>0.52250570652641226</v>
      </c>
      <c r="E77" s="7"/>
      <c r="F77" s="4">
        <f t="shared" si="6"/>
        <v>20.377722554530077</v>
      </c>
      <c r="G77" s="7"/>
      <c r="H77" s="15">
        <v>716</v>
      </c>
      <c r="I77" s="15" t="s">
        <v>47</v>
      </c>
      <c r="J77" t="s">
        <v>46</v>
      </c>
      <c r="K77">
        <v>0.52250570652641226</v>
      </c>
      <c r="L77">
        <f>K77*(D$78-20)</f>
        <v>9.9276084240018321</v>
      </c>
      <c r="M77" s="7"/>
    </row>
    <row r="78" spans="1:13" x14ac:dyDescent="0.35">
      <c r="C78" t="s">
        <v>32</v>
      </c>
      <c r="D78">
        <f>COUNT(D39:D77)</f>
        <v>39</v>
      </c>
    </row>
  </sheetData>
  <sortState xmlns:xlrd2="http://schemas.microsoft.com/office/spreadsheetml/2017/richdata2" ref="H39:L77">
    <sortCondition ref="H39:H77"/>
  </sortState>
  <mergeCells count="6">
    <mergeCell ref="O37:O42"/>
    <mergeCell ref="A1:L1"/>
    <mergeCell ref="A16:L16"/>
    <mergeCell ref="F37:G37"/>
    <mergeCell ref="B37:E37"/>
    <mergeCell ref="H37:M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4BF0D-792C-4FF2-84DB-9CAB15EE089E}">
  <dimension ref="A1:B40"/>
  <sheetViews>
    <sheetView workbookViewId="0">
      <selection activeCell="C38" sqref="C38"/>
    </sheetView>
  </sheetViews>
  <sheetFormatPr defaultRowHeight="14.5" x14ac:dyDescent="0.35"/>
  <cols>
    <col min="1" max="2" width="8.7265625" style="15"/>
  </cols>
  <sheetData>
    <row r="1" spans="1:2" x14ac:dyDescent="0.35">
      <c r="A1" s="15" t="s">
        <v>35</v>
      </c>
      <c r="B1" s="15" t="s">
        <v>48</v>
      </c>
    </row>
    <row r="2" spans="1:2" x14ac:dyDescent="0.35">
      <c r="A2" s="15">
        <v>311</v>
      </c>
      <c r="B2" s="15">
        <v>8.3400582194432195E-6</v>
      </c>
    </row>
    <row r="3" spans="1:2" x14ac:dyDescent="0.35">
      <c r="A3" s="15">
        <v>321</v>
      </c>
      <c r="B3" s="15">
        <v>3.6033577564784167E-15</v>
      </c>
    </row>
    <row r="4" spans="1:2" x14ac:dyDescent="0.35">
      <c r="A4" s="15">
        <v>322</v>
      </c>
      <c r="B4" s="15">
        <v>5.9991123155602997E-52</v>
      </c>
    </row>
    <row r="5" spans="1:2" x14ac:dyDescent="0.35">
      <c r="A5" s="15">
        <v>331</v>
      </c>
      <c r="B5" s="15">
        <v>3.999014057057447E-2</v>
      </c>
    </row>
    <row r="6" spans="1:2" x14ac:dyDescent="0.35">
      <c r="A6" s="15">
        <v>332</v>
      </c>
      <c r="B6" s="15">
        <v>2.4612804241531667E-8</v>
      </c>
    </row>
    <row r="7" spans="1:2" x14ac:dyDescent="0.35">
      <c r="A7" s="15">
        <v>341</v>
      </c>
      <c r="B7" s="15">
        <v>1.5625778779866117E-6</v>
      </c>
    </row>
    <row r="8" spans="1:2" x14ac:dyDescent="0.35">
      <c r="A8" s="15">
        <v>342</v>
      </c>
      <c r="B8" s="15">
        <v>5.130397132387663E-4</v>
      </c>
    </row>
    <row r="9" spans="1:2" x14ac:dyDescent="0.35">
      <c r="A9" s="15">
        <v>411</v>
      </c>
      <c r="B9" s="15">
        <v>9.5429523078286259E-6</v>
      </c>
    </row>
    <row r="10" spans="1:2" x14ac:dyDescent="0.35">
      <c r="A10" s="15">
        <v>421</v>
      </c>
      <c r="B10" s="15">
        <v>0.2942984265552212</v>
      </c>
    </row>
    <row r="11" spans="1:2" x14ac:dyDescent="0.35">
      <c r="A11" s="15">
        <v>422</v>
      </c>
      <c r="B11" s="15">
        <v>4.5787185395205965E-3</v>
      </c>
    </row>
    <row r="12" spans="1:2" x14ac:dyDescent="0.35">
      <c r="A12" s="15">
        <v>431</v>
      </c>
      <c r="B12" s="15">
        <v>9.6456319489581839E-7</v>
      </c>
    </row>
    <row r="13" spans="1:2" x14ac:dyDescent="0.35">
      <c r="A13" s="15">
        <v>441</v>
      </c>
      <c r="B13" s="15">
        <v>2.0852055602917812E-4</v>
      </c>
    </row>
    <row r="14" spans="1:2" x14ac:dyDescent="0.35">
      <c r="A14" s="15">
        <v>442</v>
      </c>
      <c r="B14" s="15">
        <v>0.84157361644397877</v>
      </c>
    </row>
    <row r="15" spans="1:2" x14ac:dyDescent="0.35">
      <c r="A15" s="15">
        <v>451</v>
      </c>
      <c r="B15" s="15">
        <v>1.7736503149464012E-5</v>
      </c>
    </row>
    <row r="16" spans="1:2" x14ac:dyDescent="0.35">
      <c r="A16" s="15">
        <v>452</v>
      </c>
      <c r="B16" s="15">
        <v>6.9159563037220148E-9</v>
      </c>
    </row>
    <row r="17" spans="1:2" x14ac:dyDescent="0.35">
      <c r="A17" s="15">
        <v>611</v>
      </c>
      <c r="B17" s="15">
        <v>0.22857923762518076</v>
      </c>
    </row>
    <row r="18" spans="1:2" x14ac:dyDescent="0.35">
      <c r="A18" s="15">
        <v>612</v>
      </c>
      <c r="B18" s="15">
        <v>8.489451136217431E-2</v>
      </c>
    </row>
    <row r="19" spans="1:2" x14ac:dyDescent="0.35">
      <c r="A19" s="15">
        <v>621</v>
      </c>
      <c r="B19" s="15">
        <v>1.2465987383581707E-4</v>
      </c>
    </row>
    <row r="20" spans="1:2" x14ac:dyDescent="0.35">
      <c r="A20" s="15">
        <v>622</v>
      </c>
      <c r="B20" s="15">
        <v>0.82695692526419307</v>
      </c>
    </row>
    <row r="21" spans="1:2" x14ac:dyDescent="0.35">
      <c r="A21" s="15">
        <v>631</v>
      </c>
      <c r="B21" s="15">
        <v>0.42418802608157202</v>
      </c>
    </row>
    <row r="22" spans="1:2" x14ac:dyDescent="0.35">
      <c r="A22" s="15">
        <v>632</v>
      </c>
      <c r="B22" s="15">
        <v>5.1877877025396993E-2</v>
      </c>
    </row>
    <row r="23" spans="1:2" x14ac:dyDescent="0.35">
      <c r="A23" s="15">
        <v>641</v>
      </c>
      <c r="B23" s="15">
        <v>0.74157358501441295</v>
      </c>
    </row>
    <row r="24" spans="1:2" x14ac:dyDescent="0.35">
      <c r="A24" s="15">
        <v>642</v>
      </c>
      <c r="B24" s="15">
        <v>2.0845953113172288E-2</v>
      </c>
    </row>
    <row r="25" spans="1:2" x14ac:dyDescent="0.35">
      <c r="A25" s="15">
        <v>701</v>
      </c>
      <c r="B25" s="15">
        <v>7.1569491213406652E-7</v>
      </c>
    </row>
    <row r="26" spans="1:2" x14ac:dyDescent="0.35">
      <c r="A26" s="15">
        <v>702</v>
      </c>
      <c r="B26" s="15">
        <v>0.58259844822756102</v>
      </c>
    </row>
    <row r="27" spans="1:2" x14ac:dyDescent="0.35">
      <c r="A27" s="15">
        <v>703</v>
      </c>
      <c r="B27" s="15">
        <v>2.3664933679842827E-24</v>
      </c>
    </row>
    <row r="28" spans="1:2" x14ac:dyDescent="0.35">
      <c r="A28" s="15">
        <v>704</v>
      </c>
      <c r="B28" s="15">
        <v>1.6212345360612338E-5</v>
      </c>
    </row>
    <row r="29" spans="1:2" x14ac:dyDescent="0.35">
      <c r="A29" s="15">
        <v>705</v>
      </c>
      <c r="B29" s="15">
        <v>1.1671605365200662E-6</v>
      </c>
    </row>
    <row r="30" spans="1:2" x14ac:dyDescent="0.35">
      <c r="A30" s="15">
        <v>706</v>
      </c>
      <c r="B30" s="15">
        <v>1.08242317577909E-3</v>
      </c>
    </row>
    <row r="31" spans="1:2" x14ac:dyDescent="0.35">
      <c r="A31" s="15">
        <v>707</v>
      </c>
      <c r="B31" s="15">
        <v>5.8086603768332606E-2</v>
      </c>
    </row>
    <row r="32" spans="1:2" x14ac:dyDescent="0.35">
      <c r="A32" s="15">
        <v>708</v>
      </c>
      <c r="B32" s="15">
        <v>1.6308391225023874E-3</v>
      </c>
    </row>
    <row r="33" spans="1:2" x14ac:dyDescent="0.35">
      <c r="A33" s="15">
        <v>709</v>
      </c>
      <c r="B33" s="15">
        <v>0.84939675324275377</v>
      </c>
    </row>
    <row r="34" spans="1:2" x14ac:dyDescent="0.35">
      <c r="A34" s="15">
        <v>710</v>
      </c>
      <c r="B34" s="15">
        <v>0.60332509139623425</v>
      </c>
    </row>
    <row r="35" spans="1:2" x14ac:dyDescent="0.35">
      <c r="A35" s="15">
        <v>711</v>
      </c>
      <c r="B35" s="15">
        <v>0.2156362729342137</v>
      </c>
    </row>
    <row r="36" spans="1:2" x14ac:dyDescent="0.35">
      <c r="A36" s="15">
        <v>712</v>
      </c>
      <c r="B36" s="15">
        <v>0.66015315710747191</v>
      </c>
    </row>
    <row r="37" spans="1:2" x14ac:dyDescent="0.35">
      <c r="A37" s="15">
        <v>713</v>
      </c>
      <c r="B37" s="15">
        <v>0.12427917954933664</v>
      </c>
    </row>
    <row r="38" spans="1:2" x14ac:dyDescent="0.35">
      <c r="A38" s="15">
        <v>714</v>
      </c>
      <c r="B38" s="15">
        <v>2.1983974687329361E-5</v>
      </c>
    </row>
    <row r="39" spans="1:2" x14ac:dyDescent="0.35">
      <c r="A39" s="15">
        <v>715</v>
      </c>
      <c r="B39" s="15">
        <v>0.24667785040647061</v>
      </c>
    </row>
    <row r="40" spans="1:2" x14ac:dyDescent="0.35">
      <c r="A40" s="15">
        <v>716</v>
      </c>
      <c r="B40" s="15">
        <v>0.52250570652641226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Tables 3&amp;4&amp;6</vt:lpstr>
      <vt:lpstr>Raw_pvalues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Carli G</dc:creator>
  <cp:lastModifiedBy>Carli G</cp:lastModifiedBy>
  <dcterms:created xsi:type="dcterms:W3CDTF">2023-12-14T21:07:23Z</dcterms:created>
  <dcterms:modified xsi:type="dcterms:W3CDTF">2024-05-14T21:31:43Z</dcterms:modified>
</cp:coreProperties>
</file>