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alle\Dropbox\Research\Working Papers\Inequality and Fairness Views\Manuscript\Solo 2 Submissions\JRI Submission\R&amp;R3\"/>
    </mc:Choice>
  </mc:AlternateContent>
  <xr:revisionPtr revIDLastSave="0" documentId="13_ncr:1_{4780A704-07C1-440E-961F-906E96360E0E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Table 8" sheetId="2" r:id="rId1"/>
    <sheet name="Sheet1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7" l="1"/>
  <c r="H11" i="7"/>
  <c r="G11" i="7"/>
  <c r="D11" i="7"/>
  <c r="C11" i="7"/>
  <c r="B11" i="7"/>
  <c r="F10" i="2"/>
  <c r="G13" i="2"/>
  <c r="G14" i="2" s="1"/>
  <c r="F11" i="2"/>
  <c r="G4" i="2"/>
  <c r="G6" i="2"/>
  <c r="G7" i="2" s="1"/>
  <c r="C24" i="2"/>
  <c r="C23" i="2"/>
  <c r="C22" i="2"/>
  <c r="C21" i="2"/>
  <c r="C19" i="2"/>
  <c r="B24" i="2"/>
  <c r="B23" i="2"/>
  <c r="B22" i="2"/>
  <c r="B21" i="2"/>
  <c r="B20" i="2"/>
  <c r="B19" i="2"/>
  <c r="C13" i="2"/>
  <c r="C14" i="2" s="1"/>
  <c r="D13" i="2"/>
  <c r="D14" i="2" s="1"/>
  <c r="E13" i="2"/>
  <c r="E14" i="2" s="1"/>
  <c r="B13" i="2"/>
  <c r="B14" i="2" s="1"/>
  <c r="C6" i="2"/>
  <c r="C7" i="2" s="1"/>
  <c r="D6" i="2"/>
  <c r="D7" i="2" s="1"/>
  <c r="E6" i="2"/>
  <c r="E7" i="2" s="1"/>
  <c r="B6" i="2"/>
  <c r="B7" i="2" s="1"/>
  <c r="B26" i="2" l="1"/>
  <c r="C25" i="2"/>
  <c r="C26" i="2"/>
  <c r="B25" i="2"/>
  <c r="B28" i="2" l="1"/>
  <c r="B29" i="2" s="1"/>
  <c r="C20" i="2" l="1"/>
  <c r="C28" i="2" s="1"/>
  <c r="C29" i="2" s="1"/>
  <c r="F13" i="2"/>
  <c r="F14" i="2" s="1"/>
</calcChain>
</file>

<file path=xl/sharedStrings.xml><?xml version="1.0" encoding="utf-8"?>
<sst xmlns="http://schemas.openxmlformats.org/spreadsheetml/2006/main" count="56" uniqueCount="35">
  <si>
    <t>x1</t>
  </si>
  <si>
    <t>x2</t>
  </si>
  <si>
    <t>se1</t>
  </si>
  <si>
    <t>se2</t>
  </si>
  <si>
    <t>Table 3</t>
  </si>
  <si>
    <t>Equity</t>
  </si>
  <si>
    <t>Proportionate</t>
  </si>
  <si>
    <t>tstat</t>
  </si>
  <si>
    <t>n1</t>
  </si>
  <si>
    <t>n2</t>
  </si>
  <si>
    <t>sd1</t>
  </si>
  <si>
    <t>sd2</t>
  </si>
  <si>
    <t>gamma</t>
  </si>
  <si>
    <t>mu</t>
  </si>
  <si>
    <t>sigma</t>
  </si>
  <si>
    <t>x</t>
  </si>
  <si>
    <t>se</t>
  </si>
  <si>
    <t>n</t>
  </si>
  <si>
    <t>t</t>
  </si>
  <si>
    <t>p</t>
  </si>
  <si>
    <t>LE</t>
  </si>
  <si>
    <t>LP</t>
  </si>
  <si>
    <t>Equality</t>
  </si>
  <si>
    <t>LL</t>
  </si>
  <si>
    <t>Inequality</t>
  </si>
  <si>
    <t>Table 2</t>
  </si>
  <si>
    <t>SF</t>
  </si>
  <si>
    <t>FS</t>
  </si>
  <si>
    <t>SS</t>
  </si>
  <si>
    <t>LWI</t>
  </si>
  <si>
    <t>Autarky</t>
  </si>
  <si>
    <t>EQ</t>
  </si>
  <si>
    <t>Prop</t>
  </si>
  <si>
    <t>E[.]</t>
  </si>
  <si>
    <t>HWI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</si>
</sst>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85DE-EF1A-4A95-AFFB-33331158177C}">
  <dimension ref="A1:G29"/>
  <sheetViews>
    <sheetView tabSelected="1" workbookViewId="0">
      <selection activeCell="F11" sqref="F11"/>
    </sheetView>
  </sheetViews>
  <sheetFormatPr defaultRowHeight="14.5" x14ac:dyDescent="0.35"/>
  <cols>
    <col min="2" max="2" width="14.26953125" customWidth="1"/>
    <col min="3" max="3" width="11.81640625" bestFit="1" customWidth="1"/>
  </cols>
  <sheetData>
    <row r="1" spans="1:7" x14ac:dyDescent="0.35">
      <c r="B1" s="1" t="s">
        <v>22</v>
      </c>
      <c r="C1" s="1"/>
      <c r="D1" s="1"/>
      <c r="E1" s="1"/>
      <c r="F1" s="1"/>
    </row>
    <row r="2" spans="1:7" x14ac:dyDescent="0.35">
      <c r="B2" t="s">
        <v>12</v>
      </c>
      <c r="C2" t="s">
        <v>13</v>
      </c>
      <c r="D2" t="s">
        <v>14</v>
      </c>
      <c r="E2" t="s">
        <v>20</v>
      </c>
      <c r="F2" t="s">
        <v>21</v>
      </c>
      <c r="G2" t="s">
        <v>23</v>
      </c>
    </row>
    <row r="3" spans="1:7" x14ac:dyDescent="0.35">
      <c r="A3" t="s">
        <v>15</v>
      </c>
      <c r="B3">
        <v>0.96899999999999997</v>
      </c>
      <c r="C3">
        <v>2.4609999999999999</v>
      </c>
      <c r="D3">
        <v>1.708</v>
      </c>
      <c r="E3">
        <v>0.872</v>
      </c>
      <c r="G3">
        <v>0.128</v>
      </c>
    </row>
    <row r="4" spans="1:7" x14ac:dyDescent="0.35">
      <c r="A4" t="s">
        <v>16</v>
      </c>
      <c r="B4">
        <v>5.2999999999999999E-2</v>
      </c>
      <c r="C4">
        <v>0.16200000000000001</v>
      </c>
      <c r="D4">
        <v>0.219</v>
      </c>
      <c r="E4">
        <v>2.1000000000000001E-2</v>
      </c>
      <c r="G4">
        <f>E4</f>
        <v>2.1000000000000001E-2</v>
      </c>
    </row>
    <row r="5" spans="1:7" x14ac:dyDescent="0.35">
      <c r="A5" t="s">
        <v>17</v>
      </c>
      <c r="B5">
        <v>430</v>
      </c>
      <c r="C5">
        <v>430</v>
      </c>
      <c r="D5">
        <v>430</v>
      </c>
      <c r="E5">
        <v>430</v>
      </c>
      <c r="G5">
        <v>430</v>
      </c>
    </row>
    <row r="6" spans="1:7" x14ac:dyDescent="0.35">
      <c r="A6" t="s">
        <v>18</v>
      </c>
      <c r="B6">
        <f>B3/B4</f>
        <v>18.283018867924529</v>
      </c>
      <c r="C6">
        <f t="shared" ref="C6:F6" si="0">C3/C4</f>
        <v>15.191358024691356</v>
      </c>
      <c r="D6">
        <f t="shared" si="0"/>
        <v>7.7990867579908674</v>
      </c>
      <c r="E6">
        <f t="shared" si="0"/>
        <v>41.523809523809518</v>
      </c>
      <c r="G6">
        <f t="shared" ref="F6:G6" si="1">G3/G4</f>
        <v>6.0952380952380949</v>
      </c>
    </row>
    <row r="7" spans="1:7" x14ac:dyDescent="0.35">
      <c r="A7" t="s">
        <v>19</v>
      </c>
      <c r="B7">
        <f>_xlfn.T.DIST.2T(B6,B5-1)</f>
        <v>1.2337615052087806E-55</v>
      </c>
      <c r="C7">
        <f t="shared" ref="C7:F7" si="2">_xlfn.T.DIST.2T(C6,C5-1)</f>
        <v>5.1647837278788825E-42</v>
      </c>
      <c r="D7">
        <f t="shared" si="2"/>
        <v>4.7836507076078344E-14</v>
      </c>
      <c r="E7">
        <f t="shared" si="2"/>
        <v>2.2273558759109978E-152</v>
      </c>
      <c r="G7">
        <f t="shared" ref="F7:G7" si="3">_xlfn.T.DIST.2T(G6,G5-1)</f>
        <v>2.4362895047579043E-9</v>
      </c>
    </row>
    <row r="8" spans="1:7" x14ac:dyDescent="0.35">
      <c r="B8" s="1" t="s">
        <v>24</v>
      </c>
      <c r="C8" s="1"/>
      <c r="D8" s="1"/>
      <c r="E8" s="1"/>
      <c r="F8" s="1"/>
    </row>
    <row r="9" spans="1:7" x14ac:dyDescent="0.35">
      <c r="B9" t="s">
        <v>12</v>
      </c>
      <c r="C9" t="s">
        <v>13</v>
      </c>
      <c r="D9" t="s">
        <v>14</v>
      </c>
      <c r="E9" t="s">
        <v>20</v>
      </c>
      <c r="F9" t="s">
        <v>21</v>
      </c>
      <c r="G9" t="s">
        <v>23</v>
      </c>
    </row>
    <row r="10" spans="1:7" x14ac:dyDescent="0.35">
      <c r="A10" t="s">
        <v>15</v>
      </c>
      <c r="B10">
        <v>0.96899999999999997</v>
      </c>
      <c r="C10">
        <v>1.01</v>
      </c>
      <c r="D10">
        <v>4.0000000000000001E-3</v>
      </c>
      <c r="E10">
        <v>0.57199999999999995</v>
      </c>
      <c r="F10">
        <f>1-E10-G10</f>
        <v>9.0000000000000024E-2</v>
      </c>
      <c r="G10">
        <v>0.33800000000000002</v>
      </c>
    </row>
    <row r="11" spans="1:7" x14ac:dyDescent="0.35">
      <c r="A11" t="s">
        <v>16</v>
      </c>
      <c r="B11">
        <v>2.5999999999999999E-2</v>
      </c>
      <c r="C11">
        <v>1E-4</v>
      </c>
      <c r="D11">
        <v>1E-4</v>
      </c>
      <c r="E11">
        <v>4.5999999999999999E-2</v>
      </c>
      <c r="F11">
        <f>(E11+G11)/2</f>
        <v>4.2999999999999997E-2</v>
      </c>
      <c r="G11">
        <v>0.04</v>
      </c>
    </row>
    <row r="12" spans="1:7" x14ac:dyDescent="0.35">
      <c r="A12" t="s">
        <v>17</v>
      </c>
      <c r="B12">
        <v>433</v>
      </c>
      <c r="C12">
        <v>433</v>
      </c>
      <c r="D12">
        <v>433</v>
      </c>
      <c r="E12">
        <v>433</v>
      </c>
      <c r="F12">
        <v>433</v>
      </c>
      <c r="G12">
        <v>433</v>
      </c>
    </row>
    <row r="13" spans="1:7" x14ac:dyDescent="0.35">
      <c r="A13" t="s">
        <v>18</v>
      </c>
      <c r="B13">
        <f>B10/B11</f>
        <v>37.269230769230766</v>
      </c>
      <c r="C13">
        <f t="shared" ref="C13:F13" si="4">C10/C11</f>
        <v>10100</v>
      </c>
      <c r="D13">
        <f t="shared" si="4"/>
        <v>40</v>
      </c>
      <c r="E13">
        <f t="shared" si="4"/>
        <v>12.434782608695651</v>
      </c>
      <c r="F13">
        <f t="shared" si="4"/>
        <v>2.0930232558139541</v>
      </c>
      <c r="G13">
        <f t="shared" ref="G13" si="5">G10/G11</f>
        <v>8.4500000000000011</v>
      </c>
    </row>
    <row r="14" spans="1:7" x14ac:dyDescent="0.35">
      <c r="A14" t="s">
        <v>19</v>
      </c>
      <c r="B14">
        <f>_xlfn.T.DIST.2T(B13,B12-1)</f>
        <v>4.7886140458050837E-137</v>
      </c>
      <c r="C14">
        <f t="shared" ref="C14:F14" si="6">_xlfn.T.DIST.2T(C13,C12-1)</f>
        <v>0</v>
      </c>
      <c r="D14">
        <f t="shared" si="6"/>
        <v>2.446517272519029E-147</v>
      </c>
      <c r="E14">
        <f t="shared" si="6"/>
        <v>1.4775148682025284E-30</v>
      </c>
      <c r="F14">
        <f t="shared" si="6"/>
        <v>3.6929803840272599E-2</v>
      </c>
      <c r="G14">
        <f t="shared" ref="G14" si="7">_xlfn.T.DIST.2T(G13,G12-1)</f>
        <v>4.4973858290790158E-16</v>
      </c>
    </row>
    <row r="17" spans="1:3" x14ac:dyDescent="0.35">
      <c r="B17" s="1" t="s">
        <v>4</v>
      </c>
      <c r="C17" s="1"/>
    </row>
    <row r="18" spans="1:3" x14ac:dyDescent="0.35">
      <c r="B18" t="s">
        <v>5</v>
      </c>
      <c r="C18" t="s">
        <v>6</v>
      </c>
    </row>
    <row r="19" spans="1:3" x14ac:dyDescent="0.35">
      <c r="A19" t="s">
        <v>0</v>
      </c>
      <c r="B19">
        <f>E3</f>
        <v>0.872</v>
      </c>
      <c r="C19">
        <f>F3</f>
        <v>0</v>
      </c>
    </row>
    <row r="20" spans="1:3" x14ac:dyDescent="0.35">
      <c r="A20" t="s">
        <v>1</v>
      </c>
      <c r="B20">
        <f>E10</f>
        <v>0.57199999999999995</v>
      </c>
      <c r="C20">
        <f>F10</f>
        <v>9.0000000000000024E-2</v>
      </c>
    </row>
    <row r="21" spans="1:3" x14ac:dyDescent="0.35">
      <c r="A21" t="s">
        <v>2</v>
      </c>
      <c r="B21">
        <f>E4</f>
        <v>2.1000000000000001E-2</v>
      </c>
      <c r="C21">
        <f>F4</f>
        <v>0</v>
      </c>
    </row>
    <row r="22" spans="1:3" x14ac:dyDescent="0.35">
      <c r="A22" t="s">
        <v>3</v>
      </c>
      <c r="B22">
        <f>E11</f>
        <v>4.5999999999999999E-2</v>
      </c>
      <c r="C22">
        <f>F11</f>
        <v>4.2999999999999997E-2</v>
      </c>
    </row>
    <row r="23" spans="1:3" x14ac:dyDescent="0.35">
      <c r="A23" t="s">
        <v>8</v>
      </c>
      <c r="B23">
        <f>E5</f>
        <v>430</v>
      </c>
      <c r="C23">
        <f>F5</f>
        <v>0</v>
      </c>
    </row>
    <row r="24" spans="1:3" x14ac:dyDescent="0.35">
      <c r="A24" t="s">
        <v>9</v>
      </c>
      <c r="B24">
        <f>E12</f>
        <v>433</v>
      </c>
      <c r="C24">
        <f>F12</f>
        <v>433</v>
      </c>
    </row>
    <row r="25" spans="1:3" x14ac:dyDescent="0.35">
      <c r="A25" t="s">
        <v>10</v>
      </c>
      <c r="B25">
        <f t="shared" ref="B25:C26" si="8">B21*SQRT(B23)</f>
        <v>0.43546526841988215</v>
      </c>
      <c r="C25">
        <f t="shared" si="8"/>
        <v>0</v>
      </c>
    </row>
    <row r="26" spans="1:3" x14ac:dyDescent="0.35">
      <c r="A26" t="s">
        <v>11</v>
      </c>
      <c r="B26">
        <f t="shared" si="8"/>
        <v>0.9571979941475014</v>
      </c>
      <c r="C26">
        <f t="shared" si="8"/>
        <v>0.89477203800744687</v>
      </c>
    </row>
    <row r="28" spans="1:3" x14ac:dyDescent="0.35">
      <c r="A28" t="s">
        <v>7</v>
      </c>
      <c r="B28">
        <f t="shared" ref="B28:C28" si="9">(B19-B20)/SQRT(B25/B23+B26/B24)</f>
        <v>5.2840746816797575</v>
      </c>
      <c r="C28" t="e">
        <f t="shared" si="9"/>
        <v>#DIV/0!</v>
      </c>
    </row>
    <row r="29" spans="1:3" x14ac:dyDescent="0.35">
      <c r="A29" t="s">
        <v>19</v>
      </c>
      <c r="B29">
        <f>_xlfn.T.DIST.2T(ABS(B28),B23)</f>
        <v>2.0124894435248121E-7</v>
      </c>
      <c r="C29" t="e">
        <f>_xlfn.T.DIST.RT(C28,C23)</f>
        <v>#DIV/0!</v>
      </c>
    </row>
  </sheetData>
  <mergeCells count="3">
    <mergeCell ref="B1:F1"/>
    <mergeCell ref="B8:F8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E2D3-EC65-4B2D-ADDC-C1BFA068D2A6}">
  <dimension ref="A1:I11"/>
  <sheetViews>
    <sheetView workbookViewId="0">
      <selection activeCell="I8" sqref="I8"/>
    </sheetView>
  </sheetViews>
  <sheetFormatPr defaultRowHeight="14.5" x14ac:dyDescent="0.35"/>
  <sheetData>
    <row r="1" spans="1:9" x14ac:dyDescent="0.35">
      <c r="A1" t="s">
        <v>25</v>
      </c>
    </row>
    <row r="3" spans="1:9" x14ac:dyDescent="0.35">
      <c r="A3" s="1" t="s">
        <v>29</v>
      </c>
      <c r="B3" s="1"/>
      <c r="C3" s="1"/>
      <c r="D3" s="1"/>
      <c r="F3" s="1" t="s">
        <v>34</v>
      </c>
      <c r="G3" s="1"/>
      <c r="H3" s="1"/>
      <c r="I3" s="1"/>
    </row>
    <row r="4" spans="1:9" x14ac:dyDescent="0.35">
      <c r="B4" t="s">
        <v>30</v>
      </c>
      <c r="C4" t="s">
        <v>31</v>
      </c>
      <c r="D4" t="s">
        <v>32</v>
      </c>
      <c r="G4" t="s">
        <v>30</v>
      </c>
      <c r="H4" t="s">
        <v>31</v>
      </c>
      <c r="I4" t="s">
        <v>32</v>
      </c>
    </row>
    <row r="5" spans="1:9" x14ac:dyDescent="0.35">
      <c r="A5" t="s">
        <v>28</v>
      </c>
      <c r="B5">
        <v>12</v>
      </c>
      <c r="C5">
        <v>12</v>
      </c>
      <c r="D5">
        <v>12</v>
      </c>
      <c r="F5" t="s">
        <v>28</v>
      </c>
      <c r="G5">
        <v>24</v>
      </c>
      <c r="H5">
        <v>24</v>
      </c>
      <c r="I5">
        <v>24</v>
      </c>
    </row>
    <row r="6" spans="1:9" x14ac:dyDescent="0.35">
      <c r="A6" t="s">
        <v>26</v>
      </c>
      <c r="B6">
        <v>12</v>
      </c>
      <c r="C6">
        <v>6</v>
      </c>
      <c r="D6">
        <v>4</v>
      </c>
      <c r="F6" t="s">
        <v>26</v>
      </c>
      <c r="G6">
        <v>24</v>
      </c>
      <c r="H6">
        <v>12</v>
      </c>
      <c r="I6">
        <v>16</v>
      </c>
    </row>
    <row r="7" spans="1:9" x14ac:dyDescent="0.35">
      <c r="A7" t="s">
        <v>27</v>
      </c>
      <c r="B7">
        <v>0</v>
      </c>
      <c r="C7">
        <v>12</v>
      </c>
      <c r="D7">
        <v>8</v>
      </c>
      <c r="F7" t="s">
        <v>27</v>
      </c>
      <c r="G7">
        <v>0</v>
      </c>
      <c r="H7">
        <v>6</v>
      </c>
      <c r="I7">
        <v>8</v>
      </c>
    </row>
    <row r="9" spans="1:9" x14ac:dyDescent="0.35">
      <c r="A9" t="s">
        <v>19</v>
      </c>
      <c r="B9">
        <v>0.7</v>
      </c>
      <c r="C9">
        <v>0.7</v>
      </c>
      <c r="D9">
        <v>0.7</v>
      </c>
      <c r="F9" t="s">
        <v>19</v>
      </c>
      <c r="G9">
        <v>0.7</v>
      </c>
      <c r="H9">
        <v>0.7</v>
      </c>
      <c r="I9">
        <v>0.7</v>
      </c>
    </row>
    <row r="11" spans="1:9" x14ac:dyDescent="0.35">
      <c r="A11" t="s">
        <v>33</v>
      </c>
      <c r="B11">
        <f>B9*B5</f>
        <v>8.3999999999999986</v>
      </c>
      <c r="C11">
        <f>C9*C9*C5+C9*(1-C9)*C6+C9*(1-C9)*C7</f>
        <v>9.66</v>
      </c>
      <c r="D11">
        <f>D9*D9*D5+D9*(1-D9)*D6+D9*(1-D9)*D7</f>
        <v>8.3999999999999986</v>
      </c>
      <c r="F11" t="s">
        <v>33</v>
      </c>
      <c r="G11">
        <f>G9*G5</f>
        <v>16.799999999999997</v>
      </c>
      <c r="H11">
        <f>H9*H9*H5+H9*(1-H9)*H6+H9*(1-H9)*H7</f>
        <v>15.539999999999997</v>
      </c>
      <c r="I11">
        <f>I9*I9*I5+I9*(1-I9)*I6+I9*(1-I9)*I7</f>
        <v>16.799999999999997</v>
      </c>
    </row>
  </sheetData>
  <mergeCells count="2">
    <mergeCell ref="A3:D3"/>
    <mergeCell ref="F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Carli G</cp:lastModifiedBy>
  <dcterms:created xsi:type="dcterms:W3CDTF">2020-09-03T20:24:52Z</dcterms:created>
  <dcterms:modified xsi:type="dcterms:W3CDTF">2024-03-28T11:58:03Z</dcterms:modified>
</cp:coreProperties>
</file>